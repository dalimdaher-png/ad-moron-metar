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ANA\Desktop\"/>
    </mc:Choice>
  </mc:AlternateContent>
  <bookViews>
    <workbookView xWindow="-105" yWindow="-105" windowWidth="23250" windowHeight="12450" tabRatio="794" activeTab="20"/>
  </bookViews>
  <sheets>
    <sheet name="1" sheetId="1"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2" sheetId="13" r:id="rId12"/>
    <sheet name="13" sheetId="14" r:id="rId13"/>
    <sheet name="14" sheetId="15" r:id="rId14"/>
    <sheet name="15" sheetId="16" r:id="rId15"/>
    <sheet name="16" sheetId="17" r:id="rId16"/>
    <sheet name="Hoja5" sheetId="40" state="hidden" r:id="rId17"/>
    <sheet name="17" sheetId="18" r:id="rId18"/>
    <sheet name="18" sheetId="19" r:id="rId19"/>
    <sheet name="19" sheetId="20" r:id="rId20"/>
    <sheet name="20" sheetId="21" r:id="rId21"/>
    <sheet name="21" sheetId="22" r:id="rId22"/>
    <sheet name="Hoja2" sheetId="37" state="hidden" r:id="rId23"/>
    <sheet name="Hoja3" sheetId="38" state="hidden" r:id="rId24"/>
    <sheet name="Hoja4" sheetId="39" state="hidden" r:id="rId25"/>
    <sheet name="22" sheetId="23" r:id="rId26"/>
    <sheet name="23" sheetId="24" r:id="rId27"/>
    <sheet name="Hoja6" sheetId="41" state="hidden" r:id="rId28"/>
    <sheet name="Hoja7" sheetId="42" state="hidden" r:id="rId29"/>
    <sheet name="Hoja8" sheetId="43" state="hidden" r:id="rId30"/>
    <sheet name="24" sheetId="25" r:id="rId31"/>
    <sheet name="25" sheetId="26" r:id="rId32"/>
    <sheet name="26" sheetId="27" r:id="rId33"/>
    <sheet name="27" sheetId="28" r:id="rId34"/>
    <sheet name="28" sheetId="29" r:id="rId35"/>
    <sheet name="29" sheetId="30" r:id="rId36"/>
    <sheet name="Hoja1" sheetId="36" state="hidden" r:id="rId37"/>
    <sheet name="30" sheetId="31" r:id="rId38"/>
    <sheet name="31" sheetId="32" r:id="rId39"/>
    <sheet name="MENSUAL" sheetId="35" r:id="rId40"/>
  </sheets>
  <definedNames>
    <definedName name="_xlnm.Print_Area" localSheetId="0">'1'!$B$1:$M$46</definedName>
    <definedName name="_xlnm.Print_Area" localSheetId="9">'10'!$B$1:$M$46</definedName>
    <definedName name="_xlnm.Print_Area" localSheetId="10">'11'!$B$1:$M$46</definedName>
    <definedName name="_xlnm.Print_Area" localSheetId="11">'12'!$B$1:$M$46</definedName>
    <definedName name="_xlnm.Print_Area" localSheetId="12">'13'!$B$1:$M$46</definedName>
    <definedName name="_xlnm.Print_Area" localSheetId="13">'14'!$B$1:$M$46</definedName>
    <definedName name="_xlnm.Print_Area" localSheetId="14">'15'!$B$1:$M$46</definedName>
    <definedName name="_xlnm.Print_Area" localSheetId="15">'16'!$B$1:$M$46</definedName>
    <definedName name="_xlnm.Print_Area" localSheetId="17">'17'!$B$1:$M$46</definedName>
    <definedName name="_xlnm.Print_Area" localSheetId="18">'18'!$B$1:$M$46</definedName>
    <definedName name="_xlnm.Print_Area" localSheetId="19">'19'!$B$1:$M$46</definedName>
    <definedName name="_xlnm.Print_Area" localSheetId="1">'2'!$B$1:$M$46</definedName>
    <definedName name="_xlnm.Print_Area" localSheetId="20">'20'!$B$1:$M$46</definedName>
    <definedName name="_xlnm.Print_Area" localSheetId="21">'21'!$B$1:$M$46</definedName>
    <definedName name="_xlnm.Print_Area" localSheetId="25">'22'!$B$1:$M$46</definedName>
    <definedName name="_xlnm.Print_Area" localSheetId="26">'23'!$B$1:$M$46</definedName>
    <definedName name="_xlnm.Print_Area" localSheetId="30">'24'!$B$1:$M$46</definedName>
    <definedName name="_xlnm.Print_Area" localSheetId="31">'25'!$B$1:$M$46</definedName>
    <definedName name="_xlnm.Print_Area" localSheetId="32">'26'!$B$1:$M$46</definedName>
    <definedName name="_xlnm.Print_Area" localSheetId="33">'27'!$B$1:$M$46</definedName>
    <definedName name="_xlnm.Print_Area" localSheetId="34">'28'!$B$1:$M$46</definedName>
    <definedName name="_xlnm.Print_Area" localSheetId="35">'29'!$B$1:$M$46</definedName>
    <definedName name="_xlnm.Print_Area" localSheetId="2">'3'!$B$1:$M$46</definedName>
    <definedName name="_xlnm.Print_Area" localSheetId="37">'30'!$B$1:$M$46</definedName>
    <definedName name="_xlnm.Print_Area" localSheetId="38">'31'!$B$1:$M$46</definedName>
    <definedName name="_xlnm.Print_Area" localSheetId="3">'4'!$B$1:$M$46</definedName>
    <definedName name="_xlnm.Print_Area" localSheetId="4">'5'!$B$1:$M$46</definedName>
    <definedName name="_xlnm.Print_Area" localSheetId="5">'6'!$B$1:$M$46</definedName>
    <definedName name="_xlnm.Print_Area" localSheetId="6">'7'!$B$1:$M$46</definedName>
    <definedName name="_xlnm.Print_Area" localSheetId="7">'8'!$B$1:$M$46</definedName>
    <definedName name="_xlnm.Print_Area" localSheetId="8">'9'!$B$1:$M$46</definedName>
    <definedName name="_xlnm.Print_Area" localSheetId="39">MENSUAL!$B$1:$M$51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35" l="1"/>
  <c r="K19" i="35"/>
  <c r="J20" i="35"/>
  <c r="J19" i="35"/>
  <c r="K18" i="35"/>
  <c r="J40" i="35"/>
  <c r="K40" i="35"/>
  <c r="J39" i="35"/>
  <c r="K39" i="35"/>
  <c r="J38" i="35"/>
  <c r="K38" i="35"/>
  <c r="J37" i="35"/>
  <c r="K37" i="35"/>
  <c r="J36" i="35"/>
  <c r="K36" i="35"/>
  <c r="J35" i="35"/>
  <c r="K35" i="35"/>
  <c r="J34" i="35"/>
  <c r="K34" i="35"/>
  <c r="J33" i="35"/>
  <c r="K33" i="35"/>
  <c r="J32" i="35"/>
  <c r="K32" i="35"/>
  <c r="J31" i="35"/>
  <c r="K31" i="35"/>
  <c r="I40" i="35"/>
  <c r="I39" i="35"/>
  <c r="I38" i="35"/>
  <c r="I37" i="35"/>
  <c r="I36" i="35"/>
  <c r="I35" i="35"/>
  <c r="I34" i="35"/>
  <c r="I33" i="35"/>
  <c r="I32" i="35"/>
  <c r="I31" i="35"/>
  <c r="D31" i="35"/>
  <c r="E31" i="35"/>
  <c r="F31" i="35"/>
  <c r="G31" i="35"/>
  <c r="D32" i="35"/>
  <c r="E32" i="35"/>
  <c r="F32" i="35"/>
  <c r="G32" i="35"/>
  <c r="D33" i="35"/>
  <c r="H33" i="35" s="1"/>
  <c r="E33" i="35"/>
  <c r="C33" i="35"/>
  <c r="F33" i="35"/>
  <c r="G33" i="35"/>
  <c r="D34" i="35"/>
  <c r="E34" i="35"/>
  <c r="F34" i="35"/>
  <c r="G34" i="35"/>
  <c r="D35" i="35"/>
  <c r="E35" i="35"/>
  <c r="F35" i="35"/>
  <c r="G35" i="35"/>
  <c r="D36" i="35"/>
  <c r="E36" i="35"/>
  <c r="F36" i="35"/>
  <c r="G36" i="35"/>
  <c r="D37" i="35"/>
  <c r="E37" i="35"/>
  <c r="H37" i="35" s="1"/>
  <c r="F37" i="35"/>
  <c r="G37" i="35"/>
  <c r="D38" i="35"/>
  <c r="E38" i="35"/>
  <c r="H38" i="35" s="1"/>
  <c r="F38" i="35"/>
  <c r="G38" i="35"/>
  <c r="D39" i="35"/>
  <c r="E39" i="35"/>
  <c r="F39" i="35"/>
  <c r="G39" i="35"/>
  <c r="D40" i="35"/>
  <c r="E40" i="35"/>
  <c r="F40" i="35"/>
  <c r="G40" i="35"/>
  <c r="C40" i="35"/>
  <c r="C39" i="35"/>
  <c r="C38" i="35"/>
  <c r="C37" i="35"/>
  <c r="C36" i="35"/>
  <c r="C35" i="35"/>
  <c r="C34" i="35"/>
  <c r="C32" i="35"/>
  <c r="C31" i="35"/>
  <c r="K25" i="35"/>
  <c r="K24" i="35"/>
  <c r="J25" i="35"/>
  <c r="J24" i="35"/>
  <c r="I25" i="35"/>
  <c r="I24" i="35"/>
  <c r="G25" i="35"/>
  <c r="G24" i="35"/>
  <c r="F25" i="35"/>
  <c r="F24" i="35"/>
  <c r="E25" i="35"/>
  <c r="C25" i="35"/>
  <c r="C24" i="35"/>
  <c r="D25" i="35"/>
  <c r="E24" i="35"/>
  <c r="D24" i="35"/>
  <c r="G20" i="35"/>
  <c r="I10" i="35"/>
  <c r="G19" i="35"/>
  <c r="G18" i="35"/>
  <c r="G17" i="35"/>
  <c r="F20" i="35"/>
  <c r="F19" i="35"/>
  <c r="F18" i="35"/>
  <c r="F17" i="35"/>
  <c r="E20" i="35"/>
  <c r="E19" i="35"/>
  <c r="E18" i="35"/>
  <c r="E17" i="35"/>
  <c r="D20" i="35"/>
  <c r="D19" i="35"/>
  <c r="D18" i="35"/>
  <c r="D17" i="35"/>
  <c r="C20" i="35"/>
  <c r="C19" i="35"/>
  <c r="C18" i="35"/>
  <c r="C17" i="35"/>
  <c r="D21" i="35"/>
  <c r="E21" i="35"/>
  <c r="F21" i="35"/>
  <c r="G21" i="35"/>
  <c r="C10" i="35"/>
  <c r="D10" i="35"/>
  <c r="E10" i="35"/>
  <c r="F10" i="35"/>
  <c r="G10" i="35"/>
  <c r="C11" i="35"/>
  <c r="D11" i="35"/>
  <c r="E11" i="35"/>
  <c r="F11" i="35"/>
  <c r="G11" i="35"/>
  <c r="C12" i="35"/>
  <c r="D12" i="35"/>
  <c r="E12" i="35"/>
  <c r="F12" i="35"/>
  <c r="G12" i="35"/>
  <c r="C13" i="35"/>
  <c r="D13" i="35"/>
  <c r="E13" i="35"/>
  <c r="F13" i="35"/>
  <c r="F14" i="35"/>
  <c r="F15" i="35"/>
  <c r="F16" i="35"/>
  <c r="F22" i="35"/>
  <c r="F23" i="35"/>
  <c r="F26" i="35"/>
  <c r="F27" i="35"/>
  <c r="F28" i="35"/>
  <c r="F29" i="35"/>
  <c r="F30" i="35"/>
  <c r="G13" i="35"/>
  <c r="C14" i="35"/>
  <c r="D14" i="35"/>
  <c r="E14" i="35"/>
  <c r="H14" i="35" s="1"/>
  <c r="G14" i="35"/>
  <c r="C15" i="35"/>
  <c r="D15" i="35"/>
  <c r="E15" i="35"/>
  <c r="H15" i="35" s="1"/>
  <c r="G15" i="35"/>
  <c r="C16" i="35"/>
  <c r="D16" i="35"/>
  <c r="E16" i="35"/>
  <c r="G16" i="35"/>
  <c r="C21" i="35"/>
  <c r="C22" i="35"/>
  <c r="D22" i="35"/>
  <c r="E22" i="35"/>
  <c r="G22" i="35"/>
  <c r="C23" i="35"/>
  <c r="D23" i="35"/>
  <c r="E23" i="35"/>
  <c r="H23" i="35" s="1"/>
  <c r="G23" i="35"/>
  <c r="C26" i="35"/>
  <c r="D26" i="35"/>
  <c r="E26" i="35"/>
  <c r="G26" i="35"/>
  <c r="C27" i="35"/>
  <c r="D27" i="35"/>
  <c r="E27" i="35"/>
  <c r="G27" i="35"/>
  <c r="C28" i="35"/>
  <c r="D28" i="35"/>
  <c r="E28" i="35"/>
  <c r="G28" i="35"/>
  <c r="C29" i="35"/>
  <c r="C43" i="35" s="1"/>
  <c r="D29" i="35"/>
  <c r="E29" i="35"/>
  <c r="G29" i="35"/>
  <c r="C30" i="35"/>
  <c r="D30" i="35"/>
  <c r="E30" i="35"/>
  <c r="H30" i="35" s="1"/>
  <c r="G30" i="35"/>
  <c r="J10" i="35"/>
  <c r="K10" i="35"/>
  <c r="I11" i="35"/>
  <c r="J11" i="35"/>
  <c r="K11" i="35"/>
  <c r="K12" i="35"/>
  <c r="K13" i="35"/>
  <c r="K14" i="35"/>
  <c r="K15" i="35"/>
  <c r="K16" i="35"/>
  <c r="K17" i="35"/>
  <c r="K21" i="35"/>
  <c r="K22" i="35"/>
  <c r="K23" i="35"/>
  <c r="K26" i="35"/>
  <c r="K27" i="35"/>
  <c r="K28" i="35"/>
  <c r="K29" i="35"/>
  <c r="K30" i="35"/>
  <c r="I12" i="35"/>
  <c r="J12" i="35"/>
  <c r="I13" i="35"/>
  <c r="J13" i="35"/>
  <c r="I14" i="35"/>
  <c r="J14" i="35"/>
  <c r="I15" i="35"/>
  <c r="J15" i="35"/>
  <c r="I16" i="35"/>
  <c r="J16" i="35"/>
  <c r="I17" i="35"/>
  <c r="J17" i="35"/>
  <c r="I18" i="35"/>
  <c r="J18" i="35"/>
  <c r="I21" i="35"/>
  <c r="J21" i="35"/>
  <c r="I22" i="35"/>
  <c r="J22" i="35"/>
  <c r="I23" i="35"/>
  <c r="J23" i="35"/>
  <c r="I26" i="35"/>
  <c r="J26" i="35"/>
  <c r="I27" i="35"/>
  <c r="J27" i="35"/>
  <c r="I28" i="35"/>
  <c r="J28" i="35"/>
  <c r="I29" i="35"/>
  <c r="J29" i="35"/>
  <c r="I30" i="35"/>
  <c r="J30" i="35"/>
  <c r="M43" i="35"/>
  <c r="L43" i="35"/>
  <c r="M42" i="35"/>
  <c r="L42" i="35"/>
  <c r="K42" i="35"/>
  <c r="J42" i="35"/>
  <c r="M36" i="32"/>
  <c r="L36" i="32"/>
  <c r="K36" i="32"/>
  <c r="J36" i="32"/>
  <c r="P35" i="32" s="1"/>
  <c r="I36" i="32"/>
  <c r="G36" i="32"/>
  <c r="F36" i="32"/>
  <c r="E36" i="32"/>
  <c r="D36" i="32"/>
  <c r="C36" i="32"/>
  <c r="M35" i="32"/>
  <c r="L35" i="32"/>
  <c r="K35" i="32"/>
  <c r="J35" i="32"/>
  <c r="H33" i="32"/>
  <c r="H32" i="32"/>
  <c r="H31" i="32"/>
  <c r="H30" i="32"/>
  <c r="H29" i="32"/>
  <c r="H28" i="32"/>
  <c r="H27" i="32"/>
  <c r="H26" i="32"/>
  <c r="H25" i="32"/>
  <c r="H24" i="32"/>
  <c r="H36" i="32" s="1"/>
  <c r="H23" i="32"/>
  <c r="H22" i="32"/>
  <c r="H21" i="32"/>
  <c r="H20" i="32"/>
  <c r="H19" i="32"/>
  <c r="H18" i="32"/>
  <c r="H17" i="32"/>
  <c r="H16" i="32"/>
  <c r="H15" i="32"/>
  <c r="H14" i="32"/>
  <c r="H13" i="32"/>
  <c r="H12" i="32"/>
  <c r="H11" i="32"/>
  <c r="H10" i="32"/>
  <c r="M36" i="31"/>
  <c r="L36" i="31"/>
  <c r="K36" i="31"/>
  <c r="J36" i="31"/>
  <c r="I36" i="31"/>
  <c r="G36" i="31"/>
  <c r="F36" i="31"/>
  <c r="E36" i="31"/>
  <c r="D36" i="31"/>
  <c r="C36" i="31"/>
  <c r="M35" i="31"/>
  <c r="L35" i="31"/>
  <c r="K35" i="31"/>
  <c r="J35" i="31"/>
  <c r="H33" i="31"/>
  <c r="H32" i="31"/>
  <c r="H31" i="31"/>
  <c r="H30" i="31"/>
  <c r="H29" i="31"/>
  <c r="H28" i="31"/>
  <c r="H27" i="31"/>
  <c r="H26" i="31"/>
  <c r="H25" i="31"/>
  <c r="H24" i="31"/>
  <c r="H23" i="31"/>
  <c r="H22" i="31"/>
  <c r="H36" i="31" s="1"/>
  <c r="H21" i="31"/>
  <c r="H20" i="31"/>
  <c r="H19" i="31"/>
  <c r="H18" i="31"/>
  <c r="H17" i="31"/>
  <c r="H16" i="31"/>
  <c r="H15" i="31"/>
  <c r="H14" i="31"/>
  <c r="H13" i="31"/>
  <c r="H12" i="31"/>
  <c r="H11" i="31"/>
  <c r="H10" i="31"/>
  <c r="M36" i="30"/>
  <c r="L36" i="30"/>
  <c r="K36" i="30"/>
  <c r="J36" i="30"/>
  <c r="I36" i="30"/>
  <c r="G36" i="30"/>
  <c r="F36" i="30"/>
  <c r="E36" i="30"/>
  <c r="D36" i="30"/>
  <c r="C36" i="30"/>
  <c r="M35" i="30"/>
  <c r="L35" i="30"/>
  <c r="K35" i="30"/>
  <c r="J35" i="30"/>
  <c r="H33" i="30"/>
  <c r="H32" i="30"/>
  <c r="H31" i="30"/>
  <c r="H30" i="30"/>
  <c r="H29" i="30"/>
  <c r="H28" i="30"/>
  <c r="H27" i="30"/>
  <c r="H26" i="30"/>
  <c r="H25" i="30"/>
  <c r="H24" i="30"/>
  <c r="H23" i="30"/>
  <c r="H22" i="30"/>
  <c r="H36" i="30" s="1"/>
  <c r="H21" i="30"/>
  <c r="H20" i="30"/>
  <c r="H19" i="30"/>
  <c r="H18" i="30"/>
  <c r="H17" i="30"/>
  <c r="H16" i="30"/>
  <c r="H15" i="30"/>
  <c r="H14" i="30"/>
  <c r="H13" i="30"/>
  <c r="H12" i="30"/>
  <c r="H11" i="30"/>
  <c r="H10" i="30"/>
  <c r="M36" i="29"/>
  <c r="L36" i="29"/>
  <c r="K36" i="29"/>
  <c r="J36" i="29"/>
  <c r="I36" i="29"/>
  <c r="G36" i="29"/>
  <c r="F36" i="29"/>
  <c r="E36" i="29"/>
  <c r="D36" i="29"/>
  <c r="C36" i="29"/>
  <c r="M35" i="29"/>
  <c r="L35" i="29"/>
  <c r="K35" i="29"/>
  <c r="J35" i="29"/>
  <c r="H33" i="29"/>
  <c r="H32" i="29"/>
  <c r="H31" i="29"/>
  <c r="H30" i="29"/>
  <c r="H29" i="29"/>
  <c r="H28" i="29"/>
  <c r="H27" i="29"/>
  <c r="H26" i="29"/>
  <c r="H25" i="29"/>
  <c r="H24" i="29"/>
  <c r="H23" i="29"/>
  <c r="H22" i="29"/>
  <c r="H21" i="29"/>
  <c r="H36" i="29" s="1"/>
  <c r="H20" i="29"/>
  <c r="H19" i="29"/>
  <c r="H18" i="29"/>
  <c r="H17" i="29"/>
  <c r="H16" i="29"/>
  <c r="H15" i="29"/>
  <c r="H14" i="29"/>
  <c r="H13" i="29"/>
  <c r="H12" i="29"/>
  <c r="H11" i="29"/>
  <c r="H10" i="29"/>
  <c r="M36" i="28"/>
  <c r="L36" i="28"/>
  <c r="K36" i="28"/>
  <c r="J36" i="28"/>
  <c r="I36" i="28"/>
  <c r="G36" i="28"/>
  <c r="F36" i="28"/>
  <c r="F37" i="28" s="1"/>
  <c r="E36" i="28"/>
  <c r="E37" i="28" s="1"/>
  <c r="D36" i="28"/>
  <c r="C36" i="28"/>
  <c r="M35" i="28"/>
  <c r="L35" i="28"/>
  <c r="K35" i="28"/>
  <c r="J35" i="28"/>
  <c r="H33" i="28"/>
  <c r="H32" i="28"/>
  <c r="H31" i="28"/>
  <c r="H30" i="28"/>
  <c r="H29" i="28"/>
  <c r="H28" i="28"/>
  <c r="H27" i="28"/>
  <c r="H26" i="28"/>
  <c r="H25" i="28"/>
  <c r="H24" i="28"/>
  <c r="H23" i="28"/>
  <c r="H22" i="28"/>
  <c r="H36" i="28" s="1"/>
  <c r="H21" i="28"/>
  <c r="H20" i="28"/>
  <c r="H19" i="28"/>
  <c r="H18" i="28"/>
  <c r="H17" i="28"/>
  <c r="H16" i="28"/>
  <c r="H15" i="28"/>
  <c r="H14" i="28"/>
  <c r="H13" i="28"/>
  <c r="H12" i="28"/>
  <c r="H11" i="28"/>
  <c r="H10" i="28"/>
  <c r="M36" i="27"/>
  <c r="L36" i="27"/>
  <c r="K36" i="27"/>
  <c r="J36" i="27"/>
  <c r="I36" i="27"/>
  <c r="G36" i="27"/>
  <c r="F36" i="27"/>
  <c r="E36" i="27"/>
  <c r="D36" i="27"/>
  <c r="C36" i="27"/>
  <c r="M35" i="27"/>
  <c r="L35" i="27"/>
  <c r="K35" i="27"/>
  <c r="J35" i="27"/>
  <c r="H33" i="27"/>
  <c r="H32" i="27"/>
  <c r="H31" i="27"/>
  <c r="H30" i="27"/>
  <c r="H29" i="27"/>
  <c r="H28" i="27"/>
  <c r="H36" i="27" s="1"/>
  <c r="H27" i="27"/>
  <c r="H26" i="27"/>
  <c r="H25" i="27"/>
  <c r="H24" i="27"/>
  <c r="H23" i="27"/>
  <c r="H22" i="27"/>
  <c r="H21" i="27"/>
  <c r="H20" i="27"/>
  <c r="H19" i="27"/>
  <c r="H18" i="27"/>
  <c r="H17" i="27"/>
  <c r="H16" i="27"/>
  <c r="H15" i="27"/>
  <c r="H14" i="27"/>
  <c r="H13" i="27"/>
  <c r="H12" i="27"/>
  <c r="H11" i="27"/>
  <c r="H10" i="27"/>
  <c r="M36" i="26"/>
  <c r="L36" i="26"/>
  <c r="K36" i="26"/>
  <c r="J36" i="26"/>
  <c r="P35" i="26" s="1"/>
  <c r="I36" i="26"/>
  <c r="G36" i="26"/>
  <c r="F36" i="26"/>
  <c r="E36" i="26"/>
  <c r="E37" i="26" s="1"/>
  <c r="D36" i="26"/>
  <c r="C36" i="26"/>
  <c r="M35" i="26"/>
  <c r="L35" i="26"/>
  <c r="K35" i="26"/>
  <c r="J35" i="26"/>
  <c r="H33" i="26"/>
  <c r="H32" i="26"/>
  <c r="H31" i="26"/>
  <c r="H30" i="26"/>
  <c r="H29" i="26"/>
  <c r="H28" i="26"/>
  <c r="H27" i="26"/>
  <c r="H26" i="26"/>
  <c r="H25" i="26"/>
  <c r="H36" i="26" s="1"/>
  <c r="H24" i="26"/>
  <c r="H23" i="26"/>
  <c r="H22" i="26"/>
  <c r="H21" i="26"/>
  <c r="H20" i="26"/>
  <c r="H19" i="26"/>
  <c r="H18" i="26"/>
  <c r="H17" i="26"/>
  <c r="H16" i="26"/>
  <c r="H15" i="26"/>
  <c r="H14" i="26"/>
  <c r="H13" i="26"/>
  <c r="H12" i="26"/>
  <c r="H11" i="26"/>
  <c r="H10" i="26"/>
  <c r="M36" i="25"/>
  <c r="L36" i="25"/>
  <c r="K36" i="25"/>
  <c r="J36" i="25"/>
  <c r="I36" i="25"/>
  <c r="G36" i="25"/>
  <c r="F36" i="25"/>
  <c r="E36" i="25"/>
  <c r="D36" i="25"/>
  <c r="C36" i="25"/>
  <c r="M35" i="25"/>
  <c r="L35" i="25"/>
  <c r="K35" i="25"/>
  <c r="J35" i="25"/>
  <c r="H33" i="25"/>
  <c r="H32" i="25"/>
  <c r="H31" i="25"/>
  <c r="H30" i="25"/>
  <c r="H29" i="25"/>
  <c r="H28" i="25"/>
  <c r="H27" i="25"/>
  <c r="H26" i="25"/>
  <c r="H25" i="25"/>
  <c r="H24" i="25"/>
  <c r="H36" i="25" s="1"/>
  <c r="H23" i="25"/>
  <c r="H22" i="25"/>
  <c r="H21" i="25"/>
  <c r="H20" i="25"/>
  <c r="H19" i="25"/>
  <c r="H18" i="25"/>
  <c r="H17" i="25"/>
  <c r="H16" i="25"/>
  <c r="H15" i="25"/>
  <c r="H14" i="25"/>
  <c r="H13" i="25"/>
  <c r="H12" i="25"/>
  <c r="H11" i="25"/>
  <c r="H10" i="25"/>
  <c r="M36" i="24"/>
  <c r="L36" i="24"/>
  <c r="K36" i="24"/>
  <c r="J36" i="24"/>
  <c r="I36" i="24"/>
  <c r="G36" i="24"/>
  <c r="F36" i="24"/>
  <c r="E36" i="24"/>
  <c r="D36" i="24"/>
  <c r="C36" i="24"/>
  <c r="M35" i="24"/>
  <c r="L35" i="24"/>
  <c r="K35" i="24"/>
  <c r="J35" i="24"/>
  <c r="H33" i="24"/>
  <c r="H32" i="24"/>
  <c r="H31" i="24"/>
  <c r="H30" i="24"/>
  <c r="H29" i="24"/>
  <c r="H28" i="24"/>
  <c r="H27" i="24"/>
  <c r="H26" i="24"/>
  <c r="H25" i="24"/>
  <c r="H24" i="24"/>
  <c r="H23" i="24"/>
  <c r="H22" i="24"/>
  <c r="H21" i="24"/>
  <c r="H20" i="24"/>
  <c r="H36" i="24" s="1"/>
  <c r="H19" i="24"/>
  <c r="H18" i="24"/>
  <c r="H17" i="24"/>
  <c r="H16" i="24"/>
  <c r="H15" i="24"/>
  <c r="H14" i="24"/>
  <c r="H13" i="24"/>
  <c r="H12" i="24"/>
  <c r="H11" i="24"/>
  <c r="H10" i="24"/>
  <c r="M36" i="23"/>
  <c r="L36" i="23"/>
  <c r="K36" i="23"/>
  <c r="J36" i="23"/>
  <c r="P35" i="23" s="1"/>
  <c r="I36" i="23"/>
  <c r="G36" i="23"/>
  <c r="G37" i="23" s="1"/>
  <c r="F36" i="23"/>
  <c r="F37" i="23" s="1"/>
  <c r="E36" i="23"/>
  <c r="D36" i="23"/>
  <c r="C36" i="23"/>
  <c r="M35" i="23"/>
  <c r="L35" i="23"/>
  <c r="K35" i="23"/>
  <c r="J35" i="23"/>
  <c r="H33" i="23"/>
  <c r="H32" i="23"/>
  <c r="H31" i="23"/>
  <c r="H30" i="23"/>
  <c r="H29" i="23"/>
  <c r="H28" i="23"/>
  <c r="H27" i="23"/>
  <c r="H26" i="23"/>
  <c r="H25" i="23"/>
  <c r="H24" i="23"/>
  <c r="H23" i="23"/>
  <c r="H36" i="23" s="1"/>
  <c r="H22" i="23"/>
  <c r="H21" i="23"/>
  <c r="H20" i="23"/>
  <c r="H19" i="23"/>
  <c r="H18" i="23"/>
  <c r="H17" i="23"/>
  <c r="H16" i="23"/>
  <c r="H15" i="23"/>
  <c r="H14" i="23"/>
  <c r="H13" i="23"/>
  <c r="H12" i="23"/>
  <c r="H11" i="23"/>
  <c r="H10" i="23"/>
  <c r="M36" i="22"/>
  <c r="L36" i="22"/>
  <c r="K36" i="22"/>
  <c r="J36" i="22"/>
  <c r="I36" i="22"/>
  <c r="G36" i="22"/>
  <c r="F36" i="22"/>
  <c r="E36" i="22"/>
  <c r="D36" i="22"/>
  <c r="C36" i="22"/>
  <c r="M35" i="22"/>
  <c r="L35" i="22"/>
  <c r="K35" i="22"/>
  <c r="J35" i="22"/>
  <c r="H33" i="22"/>
  <c r="H32" i="22"/>
  <c r="H31" i="22"/>
  <c r="H30" i="22"/>
  <c r="H29" i="22"/>
  <c r="H28" i="22"/>
  <c r="H27" i="22"/>
  <c r="H26" i="22"/>
  <c r="H25" i="22"/>
  <c r="H24" i="22"/>
  <c r="H23" i="22"/>
  <c r="H22" i="22"/>
  <c r="H21" i="22"/>
  <c r="H36" i="22" s="1"/>
  <c r="H20" i="22"/>
  <c r="H19" i="22"/>
  <c r="H18" i="22"/>
  <c r="H17" i="22"/>
  <c r="H16" i="22"/>
  <c r="H15" i="22"/>
  <c r="H14" i="22"/>
  <c r="H13" i="22"/>
  <c r="H12" i="22"/>
  <c r="H11" i="22"/>
  <c r="H10" i="22"/>
  <c r="M36" i="21"/>
  <c r="L36" i="21"/>
  <c r="K36" i="21"/>
  <c r="P35" i="21" s="1"/>
  <c r="K37" i="21" s="1"/>
  <c r="J36" i="21"/>
  <c r="I36" i="21"/>
  <c r="G36" i="21"/>
  <c r="F36" i="21"/>
  <c r="E36" i="21"/>
  <c r="D36" i="21"/>
  <c r="C36" i="21"/>
  <c r="M35" i="21"/>
  <c r="L35" i="21"/>
  <c r="K35" i="21"/>
  <c r="J35" i="21"/>
  <c r="H33" i="21"/>
  <c r="H32" i="21"/>
  <c r="H31" i="21"/>
  <c r="H30" i="21"/>
  <c r="H29" i="21"/>
  <c r="H28" i="21"/>
  <c r="H27" i="21"/>
  <c r="H26" i="21"/>
  <c r="H25" i="21"/>
  <c r="H24" i="21"/>
  <c r="H23" i="21"/>
  <c r="H22" i="21"/>
  <c r="H21" i="21"/>
  <c r="H20" i="21"/>
  <c r="H19" i="21"/>
  <c r="H18" i="21"/>
  <c r="H17" i="21"/>
  <c r="H16" i="21"/>
  <c r="H15" i="21"/>
  <c r="H14" i="21"/>
  <c r="H13" i="21"/>
  <c r="H12" i="21"/>
  <c r="H11" i="21"/>
  <c r="H10" i="21"/>
  <c r="M36" i="20"/>
  <c r="L36" i="20"/>
  <c r="K36" i="20"/>
  <c r="J36" i="20"/>
  <c r="P35" i="20" s="1"/>
  <c r="M37" i="20" s="1"/>
  <c r="I36" i="20"/>
  <c r="G36" i="20"/>
  <c r="F36" i="20"/>
  <c r="E36" i="20"/>
  <c r="D36" i="20"/>
  <c r="C36" i="20"/>
  <c r="M35" i="20"/>
  <c r="L35" i="20"/>
  <c r="K35" i="20"/>
  <c r="J35" i="20"/>
  <c r="H33" i="20"/>
  <c r="H32" i="20"/>
  <c r="H31" i="20"/>
  <c r="H30" i="20"/>
  <c r="H29" i="20"/>
  <c r="H28" i="20"/>
  <c r="H27" i="20"/>
  <c r="H26" i="20"/>
  <c r="H25" i="20"/>
  <c r="H24" i="20"/>
  <c r="H23" i="20"/>
  <c r="H22" i="20"/>
  <c r="H21" i="20"/>
  <c r="H20" i="20"/>
  <c r="H19" i="20"/>
  <c r="H18" i="20"/>
  <c r="H17" i="20"/>
  <c r="H16" i="20"/>
  <c r="H15" i="20"/>
  <c r="H14" i="20"/>
  <c r="H13" i="20"/>
  <c r="H12" i="20"/>
  <c r="H11" i="20"/>
  <c r="H10" i="20"/>
  <c r="M36" i="19"/>
  <c r="L36" i="19"/>
  <c r="K36" i="19"/>
  <c r="J36" i="19"/>
  <c r="I36" i="19"/>
  <c r="G36" i="19"/>
  <c r="F36" i="19"/>
  <c r="E36" i="19"/>
  <c r="D36" i="19"/>
  <c r="C36" i="19"/>
  <c r="M35" i="19"/>
  <c r="L35" i="19"/>
  <c r="K35" i="19"/>
  <c r="J35" i="19"/>
  <c r="H33" i="19"/>
  <c r="H32" i="19"/>
  <c r="H31" i="19"/>
  <c r="H30" i="19"/>
  <c r="H29" i="19"/>
  <c r="H28" i="19"/>
  <c r="H27" i="19"/>
  <c r="H26" i="19"/>
  <c r="H25" i="19"/>
  <c r="H24" i="19"/>
  <c r="H23" i="19"/>
  <c r="H22" i="19"/>
  <c r="H21" i="19"/>
  <c r="H20" i="19"/>
  <c r="H19" i="19"/>
  <c r="H18" i="19"/>
  <c r="H17" i="19"/>
  <c r="H16" i="19"/>
  <c r="H15" i="19"/>
  <c r="H14" i="19"/>
  <c r="H13" i="19"/>
  <c r="H12" i="19"/>
  <c r="H11" i="19"/>
  <c r="H10" i="19"/>
  <c r="M36" i="18"/>
  <c r="L36" i="18"/>
  <c r="K36" i="18"/>
  <c r="P35" i="18" s="1"/>
  <c r="L37" i="18" s="1"/>
  <c r="J36" i="18"/>
  <c r="I36" i="18"/>
  <c r="H20" i="18"/>
  <c r="H21" i="18"/>
  <c r="H22" i="18"/>
  <c r="H23" i="18"/>
  <c r="H24" i="18"/>
  <c r="H25" i="18"/>
  <c r="H26" i="18"/>
  <c r="H27" i="18"/>
  <c r="H28" i="18"/>
  <c r="H29" i="18"/>
  <c r="H30" i="18"/>
  <c r="H31" i="18"/>
  <c r="H32" i="18"/>
  <c r="G36" i="18"/>
  <c r="F36" i="18"/>
  <c r="E36" i="18"/>
  <c r="D36" i="18"/>
  <c r="C36" i="18"/>
  <c r="M35" i="18"/>
  <c r="L35" i="18"/>
  <c r="K35" i="18"/>
  <c r="J35" i="18"/>
  <c r="H33" i="18"/>
  <c r="H19" i="18"/>
  <c r="H18" i="18"/>
  <c r="H17" i="18"/>
  <c r="H16" i="18"/>
  <c r="H15" i="18"/>
  <c r="H14" i="18"/>
  <c r="H13" i="18"/>
  <c r="H12" i="18"/>
  <c r="H11" i="18"/>
  <c r="H10" i="18"/>
  <c r="M36" i="17"/>
  <c r="L36" i="17"/>
  <c r="K36" i="17"/>
  <c r="J36" i="17"/>
  <c r="I36" i="17"/>
  <c r="G36" i="17"/>
  <c r="F36" i="17"/>
  <c r="E36" i="17"/>
  <c r="D36" i="17"/>
  <c r="C36" i="17"/>
  <c r="M35" i="17"/>
  <c r="L35" i="17"/>
  <c r="K35" i="17"/>
  <c r="J35" i="17"/>
  <c r="H33" i="17"/>
  <c r="H32" i="17"/>
  <c r="H31" i="17"/>
  <c r="H30" i="17"/>
  <c r="H29" i="17"/>
  <c r="H28" i="17"/>
  <c r="H27" i="17"/>
  <c r="H26" i="17"/>
  <c r="H25" i="17"/>
  <c r="H24" i="17"/>
  <c r="H23" i="17"/>
  <c r="H22" i="17"/>
  <c r="H21" i="17"/>
  <c r="H20" i="17"/>
  <c r="H19" i="17"/>
  <c r="H18" i="17"/>
  <c r="H17" i="17"/>
  <c r="H16" i="17"/>
  <c r="H15" i="17"/>
  <c r="H14" i="17"/>
  <c r="H13" i="17"/>
  <c r="H12" i="17"/>
  <c r="H11" i="17"/>
  <c r="H10" i="17"/>
  <c r="M36" i="16"/>
  <c r="L36" i="16"/>
  <c r="K36" i="16"/>
  <c r="J36" i="16"/>
  <c r="I36" i="16"/>
  <c r="G36" i="16"/>
  <c r="F36" i="16"/>
  <c r="E36" i="16"/>
  <c r="D36" i="16"/>
  <c r="C36" i="16"/>
  <c r="M35" i="16"/>
  <c r="L35" i="16"/>
  <c r="K35" i="16"/>
  <c r="J35" i="16"/>
  <c r="H33" i="16"/>
  <c r="H32" i="16"/>
  <c r="H31" i="16"/>
  <c r="H30" i="16"/>
  <c r="H29" i="16"/>
  <c r="H28" i="16"/>
  <c r="H27" i="16"/>
  <c r="H26" i="16"/>
  <c r="H25" i="16"/>
  <c r="H24" i="16"/>
  <c r="H23" i="16"/>
  <c r="H22" i="16"/>
  <c r="H21" i="16"/>
  <c r="H20" i="16"/>
  <c r="H19" i="16"/>
  <c r="H18" i="16"/>
  <c r="H17" i="16"/>
  <c r="H16" i="16"/>
  <c r="H15" i="16"/>
  <c r="H14" i="16"/>
  <c r="H13" i="16"/>
  <c r="H12" i="16"/>
  <c r="H11" i="16"/>
  <c r="H10" i="16"/>
  <c r="M36" i="15"/>
  <c r="L36" i="15"/>
  <c r="K36" i="15"/>
  <c r="P35" i="15" s="1"/>
  <c r="J36" i="15"/>
  <c r="I36" i="15"/>
  <c r="G36" i="15"/>
  <c r="F36" i="15"/>
  <c r="E36" i="15"/>
  <c r="D36" i="15"/>
  <c r="C36" i="15"/>
  <c r="M35" i="15"/>
  <c r="L35" i="15"/>
  <c r="K35" i="15"/>
  <c r="J35" i="15"/>
  <c r="H33" i="15"/>
  <c r="H32" i="15"/>
  <c r="H31" i="15"/>
  <c r="H30" i="15"/>
  <c r="H29" i="15"/>
  <c r="H28" i="15"/>
  <c r="H27" i="15"/>
  <c r="H26" i="15"/>
  <c r="H25" i="15"/>
  <c r="H24" i="15"/>
  <c r="H23" i="15"/>
  <c r="H22" i="15"/>
  <c r="H21" i="15"/>
  <c r="H20" i="15"/>
  <c r="H19" i="15"/>
  <c r="H18" i="15"/>
  <c r="H17" i="15"/>
  <c r="H16" i="15"/>
  <c r="H15" i="15"/>
  <c r="H14" i="15"/>
  <c r="H13" i="15"/>
  <c r="H12" i="15"/>
  <c r="H11" i="15"/>
  <c r="H10" i="15"/>
  <c r="M36" i="14"/>
  <c r="L36" i="14"/>
  <c r="K36" i="14"/>
  <c r="J36" i="14"/>
  <c r="I36" i="14"/>
  <c r="G36" i="14"/>
  <c r="F36" i="14"/>
  <c r="E36" i="14"/>
  <c r="D36" i="14"/>
  <c r="C36" i="14"/>
  <c r="M35" i="14"/>
  <c r="L35" i="14"/>
  <c r="K35" i="14"/>
  <c r="J35" i="14"/>
  <c r="H33" i="14"/>
  <c r="H32" i="14"/>
  <c r="H31" i="14"/>
  <c r="H30" i="14"/>
  <c r="H29" i="14"/>
  <c r="H28" i="14"/>
  <c r="H27" i="14"/>
  <c r="H26" i="14"/>
  <c r="H25" i="14"/>
  <c r="H24" i="14"/>
  <c r="H23" i="14"/>
  <c r="H22" i="14"/>
  <c r="H21" i="14"/>
  <c r="H20" i="14"/>
  <c r="H19" i="14"/>
  <c r="H18" i="14"/>
  <c r="H17" i="14"/>
  <c r="H16" i="14"/>
  <c r="H15" i="14"/>
  <c r="H14" i="14"/>
  <c r="H13" i="14"/>
  <c r="H12" i="14"/>
  <c r="H11" i="14"/>
  <c r="H10" i="14"/>
  <c r="M36" i="13"/>
  <c r="L36" i="13"/>
  <c r="K36" i="13"/>
  <c r="P35" i="13" s="1"/>
  <c r="J37" i="13" s="1"/>
  <c r="J36" i="13"/>
  <c r="I36" i="13"/>
  <c r="G36" i="13"/>
  <c r="F36" i="13"/>
  <c r="E36" i="13"/>
  <c r="D36" i="13"/>
  <c r="C36" i="13"/>
  <c r="M35" i="13"/>
  <c r="L35" i="13"/>
  <c r="K35" i="13"/>
  <c r="J35" i="13"/>
  <c r="H33" i="13"/>
  <c r="H32" i="13"/>
  <c r="H31" i="13"/>
  <c r="H30" i="13"/>
  <c r="H29" i="13"/>
  <c r="H28" i="13"/>
  <c r="H27" i="13"/>
  <c r="H26" i="13"/>
  <c r="H25" i="13"/>
  <c r="H24" i="13"/>
  <c r="H23" i="13"/>
  <c r="H22" i="13"/>
  <c r="H21" i="13"/>
  <c r="H20" i="13"/>
  <c r="H19" i="13"/>
  <c r="H18" i="13"/>
  <c r="H17" i="13"/>
  <c r="H16" i="13"/>
  <c r="H15" i="13"/>
  <c r="H14" i="13"/>
  <c r="H13" i="13"/>
  <c r="H12" i="13"/>
  <c r="H11" i="13"/>
  <c r="H10" i="13"/>
  <c r="M36" i="12"/>
  <c r="L36" i="12"/>
  <c r="K36" i="12"/>
  <c r="J36" i="12"/>
  <c r="I36" i="12"/>
  <c r="G36" i="12"/>
  <c r="F36" i="12"/>
  <c r="H10" i="12"/>
  <c r="H11" i="12"/>
  <c r="H12" i="12"/>
  <c r="H13" i="12"/>
  <c r="H14" i="12"/>
  <c r="H15" i="12"/>
  <c r="H16" i="12"/>
  <c r="H17" i="12"/>
  <c r="H18" i="12"/>
  <c r="H19" i="12"/>
  <c r="H20" i="12"/>
  <c r="H21" i="12"/>
  <c r="H22" i="12"/>
  <c r="H23" i="12"/>
  <c r="H24" i="12"/>
  <c r="H25" i="12"/>
  <c r="H26" i="12"/>
  <c r="H27" i="12"/>
  <c r="H28" i="12"/>
  <c r="H29" i="12"/>
  <c r="H30" i="12"/>
  <c r="H31" i="12"/>
  <c r="H32" i="12"/>
  <c r="H33" i="12"/>
  <c r="E36" i="12"/>
  <c r="D36" i="12"/>
  <c r="C36" i="12"/>
  <c r="M35" i="12"/>
  <c r="L35" i="12"/>
  <c r="K35" i="12"/>
  <c r="J35" i="12"/>
  <c r="M36" i="11"/>
  <c r="L36" i="11"/>
  <c r="K36" i="11"/>
  <c r="P35" i="11" s="1"/>
  <c r="J36" i="11"/>
  <c r="I36" i="11"/>
  <c r="G36" i="11"/>
  <c r="F36" i="11"/>
  <c r="E36" i="11"/>
  <c r="D36" i="11"/>
  <c r="C36" i="11"/>
  <c r="M35" i="11"/>
  <c r="L35" i="11"/>
  <c r="K35" i="11"/>
  <c r="J35" i="11"/>
  <c r="H33" i="11"/>
  <c r="H32" i="11"/>
  <c r="H31" i="11"/>
  <c r="H30" i="11"/>
  <c r="H29" i="11"/>
  <c r="H28" i="11"/>
  <c r="H27" i="11"/>
  <c r="H26" i="11"/>
  <c r="H25" i="11"/>
  <c r="H24" i="11"/>
  <c r="H23" i="11"/>
  <c r="H22" i="11"/>
  <c r="H21" i="11"/>
  <c r="H20" i="11"/>
  <c r="H19" i="11"/>
  <c r="H18" i="11"/>
  <c r="H17" i="11"/>
  <c r="H16" i="11"/>
  <c r="H15" i="11"/>
  <c r="H14" i="11"/>
  <c r="H13" i="11"/>
  <c r="H12" i="11"/>
  <c r="H11" i="11"/>
  <c r="H10" i="11"/>
  <c r="M36" i="10"/>
  <c r="L36" i="10"/>
  <c r="K36" i="10"/>
  <c r="P35" i="10" s="1"/>
  <c r="J36" i="10"/>
  <c r="I36" i="10"/>
  <c r="G36" i="10"/>
  <c r="F36" i="10"/>
  <c r="E36" i="10"/>
  <c r="D36" i="10"/>
  <c r="C36" i="10"/>
  <c r="M35" i="10"/>
  <c r="L35" i="10"/>
  <c r="K35" i="10"/>
  <c r="J35" i="10"/>
  <c r="H33" i="10"/>
  <c r="H32" i="10"/>
  <c r="H31" i="10"/>
  <c r="H30" i="10"/>
  <c r="H29" i="10"/>
  <c r="H28" i="10"/>
  <c r="H27" i="10"/>
  <c r="H26" i="10"/>
  <c r="H25" i="10"/>
  <c r="H24" i="10"/>
  <c r="H23" i="10"/>
  <c r="H22" i="10"/>
  <c r="H21" i="10"/>
  <c r="H20" i="10"/>
  <c r="H19" i="10"/>
  <c r="H18" i="10"/>
  <c r="H17" i="10"/>
  <c r="H16" i="10"/>
  <c r="H15" i="10"/>
  <c r="H14" i="10"/>
  <c r="H13" i="10"/>
  <c r="H12" i="10"/>
  <c r="H11" i="10"/>
  <c r="H10" i="10"/>
  <c r="M36" i="9"/>
  <c r="L36" i="9"/>
  <c r="K36" i="9"/>
  <c r="J36" i="9"/>
  <c r="P35" i="9" s="1"/>
  <c r="I36" i="9"/>
  <c r="H20" i="9"/>
  <c r="H21" i="9"/>
  <c r="H22" i="9"/>
  <c r="H23" i="9"/>
  <c r="H24" i="9"/>
  <c r="H25" i="9"/>
  <c r="H26" i="9"/>
  <c r="H28" i="9"/>
  <c r="H29" i="9"/>
  <c r="H30" i="9"/>
  <c r="H31" i="9"/>
  <c r="H32" i="9"/>
  <c r="H10" i="9"/>
  <c r="H11" i="9"/>
  <c r="G36" i="9"/>
  <c r="F36" i="9"/>
  <c r="E36" i="9"/>
  <c r="D36" i="9"/>
  <c r="C36" i="9"/>
  <c r="M35" i="9"/>
  <c r="L35" i="9"/>
  <c r="K35" i="9"/>
  <c r="J35" i="9"/>
  <c r="H33" i="9"/>
  <c r="H27" i="9"/>
  <c r="H19" i="9"/>
  <c r="H18" i="9"/>
  <c r="H17" i="9"/>
  <c r="H16" i="9"/>
  <c r="H15" i="9"/>
  <c r="H14" i="9"/>
  <c r="H13" i="9"/>
  <c r="H12" i="9"/>
  <c r="M36" i="8"/>
  <c r="L36" i="8"/>
  <c r="K36" i="8"/>
  <c r="J36" i="8"/>
  <c r="I36" i="8"/>
  <c r="G36" i="8"/>
  <c r="F36" i="8"/>
  <c r="E36" i="8"/>
  <c r="D36" i="8"/>
  <c r="C36" i="8"/>
  <c r="M35" i="8"/>
  <c r="L35" i="8"/>
  <c r="K35" i="8"/>
  <c r="J35" i="8"/>
  <c r="H33" i="8"/>
  <c r="H32" i="8"/>
  <c r="H31" i="8"/>
  <c r="H30" i="8"/>
  <c r="H29" i="8"/>
  <c r="H28" i="8"/>
  <c r="H27" i="8"/>
  <c r="H26" i="8"/>
  <c r="H25" i="8"/>
  <c r="H24" i="8"/>
  <c r="H23" i="8"/>
  <c r="H22" i="8"/>
  <c r="H21" i="8"/>
  <c r="H20" i="8"/>
  <c r="H19" i="8"/>
  <c r="H18" i="8"/>
  <c r="H17" i="8"/>
  <c r="H16" i="8"/>
  <c r="H15" i="8"/>
  <c r="H14" i="8"/>
  <c r="H13" i="8"/>
  <c r="H12" i="8"/>
  <c r="H11" i="8"/>
  <c r="H10" i="8"/>
  <c r="M36" i="7"/>
  <c r="J36" i="7"/>
  <c r="K36" i="7"/>
  <c r="L36" i="7"/>
  <c r="I36" i="7"/>
  <c r="G36" i="7"/>
  <c r="F36" i="7"/>
  <c r="H14" i="7"/>
  <c r="H15" i="7"/>
  <c r="H16" i="7"/>
  <c r="H17" i="7"/>
  <c r="H18" i="7"/>
  <c r="H19" i="7"/>
  <c r="H20" i="7"/>
  <c r="H21" i="7"/>
  <c r="H22" i="7"/>
  <c r="H23" i="7"/>
  <c r="H24" i="7"/>
  <c r="H25" i="7"/>
  <c r="H26" i="7"/>
  <c r="H27" i="7"/>
  <c r="H28" i="7"/>
  <c r="H29" i="7"/>
  <c r="H30" i="7"/>
  <c r="H31" i="7"/>
  <c r="H32" i="7"/>
  <c r="E36" i="7"/>
  <c r="D36" i="7"/>
  <c r="C36" i="7"/>
  <c r="M35" i="7"/>
  <c r="L35" i="7"/>
  <c r="K35" i="7"/>
  <c r="J35" i="7"/>
  <c r="H33" i="7"/>
  <c r="H13" i="7"/>
  <c r="H12" i="7"/>
  <c r="H11" i="7"/>
  <c r="H10" i="7"/>
  <c r="M36" i="6"/>
  <c r="L36" i="6"/>
  <c r="K36" i="6"/>
  <c r="P35" i="6" s="1"/>
  <c r="J36" i="6"/>
  <c r="I36" i="6"/>
  <c r="G36" i="6"/>
  <c r="F36" i="6"/>
  <c r="E36" i="6"/>
  <c r="D36" i="6"/>
  <c r="C36" i="6"/>
  <c r="M35" i="6"/>
  <c r="L35" i="6"/>
  <c r="K35" i="6"/>
  <c r="J35" i="6"/>
  <c r="H33" i="6"/>
  <c r="H32" i="6"/>
  <c r="H31" i="6"/>
  <c r="H30" i="6"/>
  <c r="H29" i="6"/>
  <c r="H28" i="6"/>
  <c r="H27" i="6"/>
  <c r="H26" i="6"/>
  <c r="H25" i="6"/>
  <c r="H24" i="6"/>
  <c r="H23" i="6"/>
  <c r="H22" i="6"/>
  <c r="H21" i="6"/>
  <c r="H20" i="6"/>
  <c r="H19" i="6"/>
  <c r="H18" i="6"/>
  <c r="H17" i="6"/>
  <c r="H16" i="6"/>
  <c r="H15" i="6"/>
  <c r="H14" i="6"/>
  <c r="H13" i="6"/>
  <c r="H12" i="6"/>
  <c r="H11" i="6"/>
  <c r="H10" i="6"/>
  <c r="M36" i="5"/>
  <c r="L36" i="5"/>
  <c r="K36" i="5"/>
  <c r="J36" i="5"/>
  <c r="I36" i="5"/>
  <c r="G36" i="5"/>
  <c r="F36" i="5"/>
  <c r="H16" i="5"/>
  <c r="H17" i="5"/>
  <c r="H18" i="5"/>
  <c r="H19" i="5"/>
  <c r="H20" i="5"/>
  <c r="H21" i="5"/>
  <c r="H22" i="5"/>
  <c r="H23" i="5"/>
  <c r="H24" i="5"/>
  <c r="H25" i="5"/>
  <c r="H26" i="5"/>
  <c r="H27" i="5"/>
  <c r="H28" i="5"/>
  <c r="H29" i="5"/>
  <c r="H30" i="5"/>
  <c r="H31" i="5"/>
  <c r="H32" i="5"/>
  <c r="H33" i="5"/>
  <c r="E36" i="5"/>
  <c r="D36" i="5"/>
  <c r="C36" i="5"/>
  <c r="M35" i="5"/>
  <c r="L35" i="5"/>
  <c r="K35" i="5"/>
  <c r="J35" i="5"/>
  <c r="H15" i="5"/>
  <c r="H14" i="5"/>
  <c r="H13" i="5"/>
  <c r="H12" i="5"/>
  <c r="H11" i="5"/>
  <c r="H10" i="5"/>
  <c r="M36" i="4"/>
  <c r="L36" i="4"/>
  <c r="K36" i="4"/>
  <c r="J36" i="4"/>
  <c r="I36" i="4"/>
  <c r="G36" i="4"/>
  <c r="F36" i="4"/>
  <c r="E36" i="4"/>
  <c r="D36" i="4"/>
  <c r="C36" i="4"/>
  <c r="M35" i="4"/>
  <c r="L35" i="4"/>
  <c r="K35" i="4"/>
  <c r="J35" i="4"/>
  <c r="H33" i="4"/>
  <c r="H32" i="4"/>
  <c r="H31" i="4"/>
  <c r="H30" i="4"/>
  <c r="H29" i="4"/>
  <c r="H28" i="4"/>
  <c r="H27" i="4"/>
  <c r="H26" i="4"/>
  <c r="H25" i="4"/>
  <c r="H24" i="4"/>
  <c r="H23" i="4"/>
  <c r="H22" i="4"/>
  <c r="H21" i="4"/>
  <c r="H20" i="4"/>
  <c r="H19" i="4"/>
  <c r="H18" i="4"/>
  <c r="H17" i="4"/>
  <c r="H16" i="4"/>
  <c r="H15" i="4"/>
  <c r="H14" i="4"/>
  <c r="H13" i="4"/>
  <c r="H12" i="4"/>
  <c r="H11" i="4"/>
  <c r="H10" i="4"/>
  <c r="M36" i="3"/>
  <c r="L36" i="3"/>
  <c r="K36" i="3"/>
  <c r="J36" i="3"/>
  <c r="P35" i="3" s="1"/>
  <c r="I36" i="3"/>
  <c r="G36" i="3"/>
  <c r="F36" i="3"/>
  <c r="E36" i="3"/>
  <c r="D36" i="3"/>
  <c r="C36" i="3"/>
  <c r="M35" i="3"/>
  <c r="L35" i="3"/>
  <c r="K35" i="3"/>
  <c r="J35" i="3"/>
  <c r="H33" i="3"/>
  <c r="H32" i="3"/>
  <c r="H31" i="3"/>
  <c r="H30" i="3"/>
  <c r="H29" i="3"/>
  <c r="H28" i="3"/>
  <c r="H27" i="3"/>
  <c r="H26" i="3"/>
  <c r="H25" i="3"/>
  <c r="H24" i="3"/>
  <c r="H23" i="3"/>
  <c r="H22" i="3"/>
  <c r="H21" i="3"/>
  <c r="H20" i="3"/>
  <c r="H19" i="3"/>
  <c r="H18" i="3"/>
  <c r="H17" i="3"/>
  <c r="H16" i="3"/>
  <c r="H15" i="3"/>
  <c r="H14" i="3"/>
  <c r="H13" i="3"/>
  <c r="H12" i="3"/>
  <c r="H11" i="3"/>
  <c r="H10" i="3"/>
  <c r="M36" i="1"/>
  <c r="K36" i="1"/>
  <c r="L36" i="1"/>
  <c r="J36" i="1"/>
  <c r="I36" i="1"/>
  <c r="H11" i="1"/>
  <c r="H12" i="1"/>
  <c r="H13" i="1"/>
  <c r="H14" i="1"/>
  <c r="H15" i="1"/>
  <c r="H16" i="1"/>
  <c r="H17" i="1"/>
  <c r="H18" i="1"/>
  <c r="H19" i="1"/>
  <c r="H20" i="1"/>
  <c r="H21" i="1"/>
  <c r="H22" i="1"/>
  <c r="H23" i="1"/>
  <c r="H24" i="1"/>
  <c r="H25" i="1"/>
  <c r="H26" i="1"/>
  <c r="H27" i="1"/>
  <c r="H28" i="1"/>
  <c r="H29" i="1"/>
  <c r="H30" i="1"/>
  <c r="H31" i="1"/>
  <c r="H32" i="1"/>
  <c r="H33" i="1"/>
  <c r="C36" i="1"/>
  <c r="H10" i="1"/>
  <c r="M35" i="1"/>
  <c r="K35" i="1"/>
  <c r="L35" i="1"/>
  <c r="J35" i="1"/>
  <c r="D36" i="1"/>
  <c r="E36" i="1"/>
  <c r="F36" i="1"/>
  <c r="G36" i="1"/>
  <c r="H39" i="35"/>
  <c r="H34" i="35"/>
  <c r="H32" i="35"/>
  <c r="H31" i="35"/>
  <c r="H27" i="35"/>
  <c r="P35" i="31"/>
  <c r="L37" i="31" s="1"/>
  <c r="H35" i="35"/>
  <c r="H40" i="35"/>
  <c r="P35" i="5"/>
  <c r="L37" i="5" s="1"/>
  <c r="P35" i="28"/>
  <c r="J37" i="28" s="1"/>
  <c r="H36" i="35"/>
  <c r="P35" i="22"/>
  <c r="M37" i="22" s="1"/>
  <c r="K37" i="22"/>
  <c r="K37" i="31"/>
  <c r="L37" i="21" l="1"/>
  <c r="M37" i="21"/>
  <c r="J37" i="21"/>
  <c r="H29" i="35"/>
  <c r="H36" i="21"/>
  <c r="E37" i="21" s="1"/>
  <c r="H28" i="35"/>
  <c r="K37" i="20"/>
  <c r="H36" i="20"/>
  <c r="E37" i="20" s="1"/>
  <c r="H36" i="19"/>
  <c r="H26" i="35"/>
  <c r="H36" i="18"/>
  <c r="G37" i="18" s="1"/>
  <c r="H36" i="17"/>
  <c r="H25" i="35"/>
  <c r="H36" i="16"/>
  <c r="D37" i="16" s="1"/>
  <c r="P35" i="16"/>
  <c r="H24" i="35"/>
  <c r="H36" i="15"/>
  <c r="H37" i="15" s="1"/>
  <c r="H22" i="35"/>
  <c r="H36" i="14"/>
  <c r="H37" i="14" s="1"/>
  <c r="H21" i="35"/>
  <c r="H36" i="13"/>
  <c r="F37" i="13" s="1"/>
  <c r="H20" i="35"/>
  <c r="H36" i="12"/>
  <c r="F37" i="12" s="1"/>
  <c r="L37" i="11"/>
  <c r="J37" i="11"/>
  <c r="H19" i="35"/>
  <c r="H36" i="11"/>
  <c r="E37" i="11" s="1"/>
  <c r="H18" i="35"/>
  <c r="H36" i="10"/>
  <c r="F37" i="10" s="1"/>
  <c r="H17" i="35"/>
  <c r="H36" i="9"/>
  <c r="F37" i="9" s="1"/>
  <c r="P35" i="8"/>
  <c r="H16" i="35"/>
  <c r="H36" i="8"/>
  <c r="G37" i="8" s="1"/>
  <c r="J37" i="8"/>
  <c r="L37" i="8"/>
  <c r="H36" i="7"/>
  <c r="D37" i="7" s="1"/>
  <c r="H36" i="6"/>
  <c r="E37" i="6" s="1"/>
  <c r="D37" i="6"/>
  <c r="I37" i="6"/>
  <c r="F37" i="6"/>
  <c r="H37" i="6"/>
  <c r="C37" i="6"/>
  <c r="K37" i="6"/>
  <c r="L37" i="6"/>
  <c r="M37" i="6"/>
  <c r="J37" i="6"/>
  <c r="M37" i="5"/>
  <c r="J37" i="5"/>
  <c r="K37" i="5"/>
  <c r="H13" i="35"/>
  <c r="H36" i="4"/>
  <c r="I37" i="4" s="1"/>
  <c r="H12" i="35"/>
  <c r="K37" i="3"/>
  <c r="L37" i="3"/>
  <c r="J37" i="3"/>
  <c r="H11" i="35"/>
  <c r="H36" i="3"/>
  <c r="G37" i="3" s="1"/>
  <c r="H10" i="35"/>
  <c r="P35" i="1"/>
  <c r="H36" i="1"/>
  <c r="C37" i="1" s="1"/>
  <c r="K37" i="32"/>
  <c r="M37" i="32"/>
  <c r="L37" i="32"/>
  <c r="J37" i="32"/>
  <c r="H37" i="32"/>
  <c r="I37" i="32"/>
  <c r="F37" i="32"/>
  <c r="D37" i="32"/>
  <c r="E37" i="32"/>
  <c r="C37" i="32"/>
  <c r="G37" i="32"/>
  <c r="J37" i="31"/>
  <c r="M37" i="31"/>
  <c r="H37" i="31"/>
  <c r="G37" i="31"/>
  <c r="C37" i="31"/>
  <c r="I37" i="31"/>
  <c r="E37" i="31"/>
  <c r="D37" i="31"/>
  <c r="F37" i="31"/>
  <c r="P35" i="30"/>
  <c r="F37" i="30"/>
  <c r="H37" i="30"/>
  <c r="G37" i="30"/>
  <c r="D37" i="30"/>
  <c r="I37" i="30"/>
  <c r="C37" i="30"/>
  <c r="E37" i="30"/>
  <c r="P35" i="29"/>
  <c r="G37" i="29"/>
  <c r="D37" i="29"/>
  <c r="C37" i="29"/>
  <c r="E37" i="29"/>
  <c r="F37" i="29"/>
  <c r="H37" i="29"/>
  <c r="I37" i="29"/>
  <c r="M37" i="28"/>
  <c r="L37" i="28"/>
  <c r="K37" i="28"/>
  <c r="H37" i="28"/>
  <c r="I37" i="28"/>
  <c r="D37" i="28"/>
  <c r="C37" i="28"/>
  <c r="G37" i="28"/>
  <c r="P35" i="27"/>
  <c r="F37" i="27"/>
  <c r="H37" i="27"/>
  <c r="I37" i="27"/>
  <c r="E37" i="27"/>
  <c r="G37" i="27"/>
  <c r="C37" i="27"/>
  <c r="D37" i="27"/>
  <c r="M37" i="26"/>
  <c r="K37" i="26"/>
  <c r="L37" i="26"/>
  <c r="J37" i="26"/>
  <c r="F37" i="26"/>
  <c r="D37" i="26"/>
  <c r="I37" i="26"/>
  <c r="C37" i="26"/>
  <c r="H37" i="26"/>
  <c r="G37" i="26"/>
  <c r="J37" i="25"/>
  <c r="P35" i="25"/>
  <c r="I37" i="25"/>
  <c r="H37" i="25"/>
  <c r="E37" i="25"/>
  <c r="D37" i="25"/>
  <c r="G37" i="25"/>
  <c r="C37" i="25"/>
  <c r="F37" i="25"/>
  <c r="J37" i="24"/>
  <c r="P35" i="24"/>
  <c r="E37" i="24"/>
  <c r="I37" i="24"/>
  <c r="G37" i="24"/>
  <c r="F37" i="24"/>
  <c r="H37" i="24"/>
  <c r="D37" i="24"/>
  <c r="C37" i="24"/>
  <c r="M37" i="23"/>
  <c r="L37" i="23"/>
  <c r="K37" i="23"/>
  <c r="J37" i="23"/>
  <c r="H37" i="23"/>
  <c r="E37" i="23"/>
  <c r="I37" i="23"/>
  <c r="C37" i="23"/>
  <c r="D37" i="23"/>
  <c r="J37" i="22"/>
  <c r="L37" i="22"/>
  <c r="D37" i="22"/>
  <c r="H37" i="22"/>
  <c r="I37" i="22"/>
  <c r="G37" i="22"/>
  <c r="C37" i="22"/>
  <c r="E37" i="22"/>
  <c r="F37" i="22"/>
  <c r="J37" i="20"/>
  <c r="L37" i="20"/>
  <c r="P35" i="19"/>
  <c r="H37" i="19"/>
  <c r="C37" i="19"/>
  <c r="E37" i="19"/>
  <c r="I37" i="19"/>
  <c r="D37" i="19"/>
  <c r="G37" i="19"/>
  <c r="F37" i="19"/>
  <c r="M37" i="18"/>
  <c r="J37" i="18"/>
  <c r="K37" i="18"/>
  <c r="P35" i="17"/>
  <c r="H37" i="17"/>
  <c r="F37" i="17"/>
  <c r="G37" i="17"/>
  <c r="C37" i="17"/>
  <c r="I37" i="17"/>
  <c r="E37" i="17"/>
  <c r="D37" i="17"/>
  <c r="M37" i="16"/>
  <c r="M37" i="15"/>
  <c r="L37" i="15"/>
  <c r="J37" i="15"/>
  <c r="K37" i="15"/>
  <c r="I43" i="35"/>
  <c r="P35" i="14"/>
  <c r="M37" i="13"/>
  <c r="L37" i="13"/>
  <c r="K37" i="13"/>
  <c r="P35" i="12"/>
  <c r="M37" i="11"/>
  <c r="K37" i="11"/>
  <c r="M37" i="10"/>
  <c r="L37" i="10"/>
  <c r="J37" i="10"/>
  <c r="K37" i="10"/>
  <c r="L37" i="9"/>
  <c r="K37" i="9"/>
  <c r="M37" i="9"/>
  <c r="J37" i="9"/>
  <c r="D37" i="9"/>
  <c r="K37" i="8"/>
  <c r="M37" i="8"/>
  <c r="P35" i="7"/>
  <c r="J37" i="7" s="1"/>
  <c r="I37" i="7"/>
  <c r="F37" i="7"/>
  <c r="E37" i="7"/>
  <c r="C37" i="7"/>
  <c r="H37" i="7"/>
  <c r="G37" i="7"/>
  <c r="F43" i="35"/>
  <c r="H36" i="5"/>
  <c r="D37" i="5" s="1"/>
  <c r="P35" i="4"/>
  <c r="J43" i="35"/>
  <c r="K43" i="35"/>
  <c r="G37" i="4"/>
  <c r="D37" i="4"/>
  <c r="E37" i="4"/>
  <c r="H37" i="4"/>
  <c r="F37" i="4"/>
  <c r="E43" i="35"/>
  <c r="M37" i="3"/>
  <c r="G43" i="35"/>
  <c r="M37" i="1"/>
  <c r="L37" i="1"/>
  <c r="K37" i="1"/>
  <c r="J37" i="1"/>
  <c r="H37" i="1"/>
  <c r="D43" i="35"/>
  <c r="F37" i="21" l="1"/>
  <c r="C37" i="21"/>
  <c r="D37" i="21"/>
  <c r="G37" i="21"/>
  <c r="H37" i="21"/>
  <c r="I37" i="21"/>
  <c r="F37" i="20"/>
  <c r="G37" i="20"/>
  <c r="I37" i="20"/>
  <c r="C37" i="20"/>
  <c r="D37" i="20"/>
  <c r="H37" i="20"/>
  <c r="I37" i="18"/>
  <c r="F37" i="18"/>
  <c r="C37" i="18"/>
  <c r="D37" i="18"/>
  <c r="H37" i="18"/>
  <c r="E37" i="18"/>
  <c r="G37" i="16"/>
  <c r="E37" i="16"/>
  <c r="H37" i="16"/>
  <c r="C37" i="16"/>
  <c r="F37" i="16"/>
  <c r="I37" i="16"/>
  <c r="L37" i="16"/>
  <c r="K37" i="16"/>
  <c r="J37" i="16"/>
  <c r="D37" i="15"/>
  <c r="F37" i="15"/>
  <c r="G37" i="15"/>
  <c r="C37" i="15"/>
  <c r="I37" i="15"/>
  <c r="E37" i="15"/>
  <c r="E37" i="14"/>
  <c r="D37" i="14"/>
  <c r="I37" i="14"/>
  <c r="F37" i="14"/>
  <c r="C37" i="14"/>
  <c r="G37" i="14"/>
  <c r="I37" i="13"/>
  <c r="G37" i="13"/>
  <c r="H37" i="13"/>
  <c r="E37" i="13"/>
  <c r="C37" i="13"/>
  <c r="D37" i="13"/>
  <c r="H37" i="12"/>
  <c r="C37" i="12"/>
  <c r="E37" i="12"/>
  <c r="D37" i="12"/>
  <c r="I37" i="12"/>
  <c r="G37" i="12"/>
  <c r="F37" i="11"/>
  <c r="I37" i="11"/>
  <c r="G37" i="11"/>
  <c r="H37" i="11"/>
  <c r="D37" i="11"/>
  <c r="C37" i="11"/>
  <c r="C37" i="10"/>
  <c r="I37" i="10"/>
  <c r="E37" i="10"/>
  <c r="D37" i="10"/>
  <c r="G37" i="10"/>
  <c r="H37" i="10"/>
  <c r="H37" i="9"/>
  <c r="E37" i="9"/>
  <c r="C37" i="9"/>
  <c r="G37" i="9"/>
  <c r="I37" i="9"/>
  <c r="H37" i="8"/>
  <c r="C37" i="8"/>
  <c r="I37" i="8"/>
  <c r="D37" i="8"/>
  <c r="F37" i="8"/>
  <c r="E37" i="8"/>
  <c r="L37" i="7"/>
  <c r="G37" i="6"/>
  <c r="F37" i="5"/>
  <c r="G37" i="5"/>
  <c r="H37" i="5"/>
  <c r="E37" i="5"/>
  <c r="C37" i="5"/>
  <c r="I37" i="5"/>
  <c r="C37" i="4"/>
  <c r="F37" i="3"/>
  <c r="I37" i="3"/>
  <c r="E37" i="3"/>
  <c r="H37" i="3"/>
  <c r="D37" i="3"/>
  <c r="C37" i="3"/>
  <c r="H43" i="35"/>
  <c r="E44" i="35" s="1"/>
  <c r="D37" i="1"/>
  <c r="E37" i="1"/>
  <c r="G37" i="1"/>
  <c r="I37" i="1"/>
  <c r="F37" i="1"/>
  <c r="M37" i="30"/>
  <c r="L37" i="30"/>
  <c r="J37" i="30"/>
  <c r="K37" i="30"/>
  <c r="M37" i="29"/>
  <c r="K37" i="29"/>
  <c r="L37" i="29"/>
  <c r="J37" i="29"/>
  <c r="L37" i="27"/>
  <c r="M37" i="27"/>
  <c r="K37" i="27"/>
  <c r="J37" i="27"/>
  <c r="K37" i="25"/>
  <c r="M37" i="25"/>
  <c r="L37" i="25"/>
  <c r="L37" i="24"/>
  <c r="M37" i="24"/>
  <c r="K37" i="24"/>
  <c r="K37" i="19"/>
  <c r="M37" i="19"/>
  <c r="L37" i="19"/>
  <c r="J37" i="19"/>
  <c r="L37" i="17"/>
  <c r="M37" i="17"/>
  <c r="K37" i="17"/>
  <c r="J37" i="17"/>
  <c r="M37" i="14"/>
  <c r="J37" i="14"/>
  <c r="L37" i="14"/>
  <c r="K37" i="14"/>
  <c r="M37" i="12"/>
  <c r="K37" i="12"/>
  <c r="L37" i="12"/>
  <c r="J37" i="12"/>
  <c r="P42" i="35"/>
  <c r="K44" i="35" s="1"/>
  <c r="M37" i="7"/>
  <c r="K37" i="7"/>
  <c r="M37" i="4"/>
  <c r="L37" i="4"/>
  <c r="K37" i="4"/>
  <c r="J37" i="4"/>
  <c r="F44" i="35" l="1"/>
  <c r="C44" i="35"/>
  <c r="D44" i="35"/>
  <c r="G44" i="35"/>
  <c r="H44" i="35"/>
  <c r="I44" i="35"/>
  <c r="J44" i="35"/>
  <c r="L44" i="35"/>
  <c r="M44" i="35"/>
</calcChain>
</file>

<file path=xl/sharedStrings.xml><?xml version="1.0" encoding="utf-8"?>
<sst xmlns="http://schemas.openxmlformats.org/spreadsheetml/2006/main" count="1645" uniqueCount="52">
  <si>
    <t>MOVIMIENTO DE AERONAVES</t>
  </si>
  <si>
    <t>ESTADISTICA DIARIA</t>
  </si>
  <si>
    <t>DEPENDENCIA:</t>
  </si>
  <si>
    <t>TORRE MORON</t>
  </si>
  <si>
    <t>FECHA:</t>
  </si>
  <si>
    <t>FRANJA HORARIA UTC</t>
  </si>
  <si>
    <t>COMERCIAL</t>
  </si>
  <si>
    <t>OFICIAL</t>
  </si>
  <si>
    <t>OTROS</t>
  </si>
  <si>
    <t>LOCAL</t>
  </si>
  <si>
    <t>SOBREVUELO</t>
  </si>
  <si>
    <t>TOTAL MOVIMIENTOS</t>
  </si>
  <si>
    <t>IFR</t>
  </si>
  <si>
    <t>PISTA</t>
  </si>
  <si>
    <t>00 a 01</t>
  </si>
  <si>
    <t>01 a 02</t>
  </si>
  <si>
    <t>02 a 03</t>
  </si>
  <si>
    <t>03 a 04</t>
  </si>
  <si>
    <t>04 a 05</t>
  </si>
  <si>
    <t>05 a 06</t>
  </si>
  <si>
    <t>06 a 07</t>
  </si>
  <si>
    <t>07 a 08</t>
  </si>
  <si>
    <t>08 a 09</t>
  </si>
  <si>
    <t>09 a 10</t>
  </si>
  <si>
    <t>10 a 11</t>
  </si>
  <si>
    <t>11 a 12</t>
  </si>
  <si>
    <t>12 a 13</t>
  </si>
  <si>
    <t>13 a 14</t>
  </si>
  <si>
    <t xml:space="preserve">14 a 15 </t>
  </si>
  <si>
    <t>15 a 16</t>
  </si>
  <si>
    <t>16 a 17</t>
  </si>
  <si>
    <t>17 a 18</t>
  </si>
  <si>
    <t>18 a 19</t>
  </si>
  <si>
    <t xml:space="preserve">19 a 20 </t>
  </si>
  <si>
    <t>20 a 21</t>
  </si>
  <si>
    <t xml:space="preserve">21 a 22 </t>
  </si>
  <si>
    <t>22 a 23</t>
  </si>
  <si>
    <t>23 a 00</t>
  </si>
  <si>
    <t>pista</t>
  </si>
  <si>
    <t>TOTAL DIARIO</t>
  </si>
  <si>
    <t>suma total</t>
  </si>
  <si>
    <t>Firma y aclaración del responsable</t>
  </si>
  <si>
    <t xml:space="preserve">                   </t>
  </si>
  <si>
    <t>ESTADISTICA MENSUAL</t>
  </si>
  <si>
    <t>PERIODO:</t>
  </si>
  <si>
    <t>DIA</t>
  </si>
  <si>
    <t>TOTAL MENSUAL</t>
  </si>
  <si>
    <t>imc</t>
  </si>
  <si>
    <t>IMC</t>
  </si>
  <si>
    <t>MES DE AGOSTO</t>
  </si>
  <si>
    <t>AD IMC</t>
  </si>
  <si>
    <t>2A3394/2026
AVISOS FIR EZEIZA
(-EF)
Desde: 2026-08-25 12:00:00
Hasta: 2026-08-27 19:00:00
AFIL AND ABBREVIATED FLT DATA WILL NOT BE ACCEPTED IN CTA EZEIZA I, CTA EZEIZA II, TMA BAIRES AND CTR EZEIZA TO AVOID TFC CONGESTION EXC SAN, HUM AND STAA3394/2026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ESTADOA3394/2026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</si>
</sst>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indexed="9"/>
      <name val="Calibri"/>
      <family val="2"/>
    </font>
    <font>
      <b/>
      <sz val="11"/>
      <name val="Calibri"/>
      <family val="2"/>
    </font>
    <font>
      <sz val="11"/>
      <color indexed="30"/>
      <name val="Calibri"/>
      <family val="2"/>
    </font>
    <font>
      <sz val="11"/>
      <color indexed="8"/>
      <name val="Calibri"/>
      <family val="2"/>
    </font>
    <font>
      <b/>
      <sz val="10"/>
      <name val="Calibri"/>
      <family val="2"/>
    </font>
    <font>
      <b/>
      <sz val="11"/>
      <color indexed="56"/>
      <name val="Calibri"/>
      <family val="2"/>
    </font>
    <font>
      <b/>
      <sz val="14"/>
      <color indexed="56"/>
      <name val="Calibri"/>
      <family val="2"/>
    </font>
    <font>
      <u val="double"/>
      <sz val="14"/>
      <color indexed="56"/>
      <name val="Calibri"/>
      <family val="2"/>
    </font>
    <font>
      <sz val="11"/>
      <color indexed="56"/>
      <name val="Calibri"/>
      <family val="2"/>
    </font>
    <font>
      <b/>
      <sz val="10"/>
      <color indexed="56"/>
      <name val="Calibri"/>
      <family val="2"/>
    </font>
    <font>
      <b/>
      <u val="double"/>
      <sz val="11"/>
      <name val="Calibri"/>
      <family val="2"/>
    </font>
    <font>
      <b/>
      <sz val="11"/>
      <color indexed="8"/>
      <name val="Calibri"/>
      <family val="2"/>
    </font>
    <font>
      <b/>
      <sz val="10"/>
      <color indexed="30"/>
      <name val="Calibri"/>
      <family val="2"/>
    </font>
    <font>
      <b/>
      <sz val="11"/>
      <color indexed="30"/>
      <name val="Calibri"/>
      <family val="2"/>
    </font>
  </fonts>
  <fills count="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31"/>
        <bgColor indexed="64"/>
      </patternFill>
    </fill>
  </fills>
  <borders count="44">
    <border>
      <left/>
      <right/>
      <top/>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dotted">
        <color indexed="64"/>
      </bottom>
      <diagonal/>
    </border>
    <border>
      <left style="double">
        <color indexed="30"/>
      </left>
      <right/>
      <top/>
      <bottom/>
      <diagonal/>
    </border>
    <border>
      <left/>
      <right style="double">
        <color indexed="30"/>
      </right>
      <top/>
      <bottom/>
      <diagonal/>
    </border>
    <border>
      <left style="double">
        <color indexed="3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30"/>
      </right>
      <top style="thin">
        <color indexed="64"/>
      </top>
      <bottom style="thin">
        <color indexed="64"/>
      </bottom>
      <diagonal/>
    </border>
    <border>
      <left style="thin">
        <color indexed="22"/>
      </left>
      <right style="double">
        <color indexed="30"/>
      </right>
      <top style="thin">
        <color indexed="22"/>
      </top>
      <bottom style="thin">
        <color indexed="22"/>
      </bottom>
      <diagonal/>
    </border>
    <border>
      <left style="thin">
        <color indexed="22"/>
      </left>
      <right style="thin">
        <color indexed="22"/>
      </right>
      <top style="thin">
        <color indexed="22"/>
      </top>
      <bottom style="double">
        <color indexed="30"/>
      </bottom>
      <diagonal/>
    </border>
    <border>
      <left style="double">
        <color indexed="3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30"/>
      </right>
      <top style="thin">
        <color indexed="64"/>
      </top>
      <bottom/>
      <diagonal/>
    </border>
    <border>
      <left style="thin">
        <color indexed="22"/>
      </left>
      <right style="double">
        <color indexed="30"/>
      </right>
      <top style="thin">
        <color indexed="22"/>
      </top>
      <bottom style="double">
        <color indexed="3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22"/>
      </left>
      <right/>
      <top style="thin">
        <color indexed="22"/>
      </top>
      <bottom style="thin">
        <color indexed="22"/>
      </bottom>
      <diagonal/>
    </border>
    <border>
      <left style="thin">
        <color indexed="22"/>
      </left>
      <right/>
      <top style="thin">
        <color indexed="22"/>
      </top>
      <bottom style="double">
        <color indexed="30"/>
      </bottom>
      <diagonal/>
    </border>
    <border>
      <left style="double">
        <color indexed="30"/>
      </left>
      <right style="thin">
        <color indexed="22"/>
      </right>
      <top style="thin">
        <color indexed="22"/>
      </top>
      <bottom style="thin">
        <color indexed="22"/>
      </bottom>
      <diagonal/>
    </border>
    <border>
      <left style="double">
        <color indexed="30"/>
      </left>
      <right style="thin">
        <color indexed="22"/>
      </right>
      <top style="thin">
        <color indexed="22"/>
      </top>
      <bottom style="double">
        <color indexed="30"/>
      </bottom>
      <diagonal/>
    </border>
    <border>
      <left/>
      <right/>
      <top style="dotted">
        <color indexed="64"/>
      </top>
      <bottom/>
      <diagonal/>
    </border>
    <border>
      <left style="thin">
        <color indexed="64"/>
      </left>
      <right style="thin">
        <color indexed="64"/>
      </right>
      <top style="thin">
        <color indexed="30"/>
      </top>
      <bottom/>
      <diagonal/>
    </border>
    <border>
      <left style="thin">
        <color indexed="64"/>
      </left>
      <right style="thin">
        <color indexed="64"/>
      </right>
      <top/>
      <bottom style="thin">
        <color indexed="64"/>
      </bottom>
      <diagonal/>
    </border>
    <border>
      <left style="thin">
        <color indexed="64"/>
      </left>
      <right/>
      <top style="thin">
        <color indexed="30"/>
      </top>
      <bottom/>
      <diagonal/>
    </border>
    <border>
      <left style="thin">
        <color indexed="64"/>
      </left>
      <right/>
      <top/>
      <bottom style="thin">
        <color indexed="64"/>
      </bottom>
      <diagonal/>
    </border>
    <border>
      <left style="thin">
        <color indexed="22"/>
      </left>
      <right style="thin">
        <color indexed="22"/>
      </right>
      <top style="double">
        <color indexed="30"/>
      </top>
      <bottom style="thin">
        <color indexed="22"/>
      </bottom>
      <diagonal/>
    </border>
    <border>
      <left style="double">
        <color indexed="30"/>
      </left>
      <right/>
      <top style="double">
        <color indexed="30"/>
      </top>
      <bottom/>
      <diagonal/>
    </border>
    <border>
      <left/>
      <right/>
      <top style="double">
        <color indexed="30"/>
      </top>
      <bottom/>
      <diagonal/>
    </border>
    <border>
      <left/>
      <right style="double">
        <color indexed="30"/>
      </right>
      <top style="double">
        <color indexed="30"/>
      </top>
      <bottom/>
      <diagonal/>
    </border>
    <border>
      <left style="double">
        <color indexed="30"/>
      </left>
      <right style="thin">
        <color indexed="22"/>
      </right>
      <top style="double">
        <color indexed="30"/>
      </top>
      <bottom/>
      <diagonal/>
    </border>
    <border>
      <left style="double">
        <color indexed="30"/>
      </left>
      <right style="thin">
        <color indexed="22"/>
      </right>
      <top/>
      <bottom/>
      <diagonal/>
    </border>
    <border>
      <left style="double">
        <color indexed="30"/>
      </left>
      <right style="thin">
        <color indexed="22"/>
      </right>
      <top/>
      <bottom style="double">
        <color indexed="30"/>
      </bottom>
      <diagonal/>
    </border>
    <border>
      <left style="double">
        <color indexed="30"/>
      </left>
      <right style="thin">
        <color indexed="64"/>
      </right>
      <top style="thin">
        <color indexed="30"/>
      </top>
      <bottom/>
      <diagonal/>
    </border>
    <border>
      <left style="double">
        <color indexed="30"/>
      </left>
      <right style="thin">
        <color indexed="64"/>
      </right>
      <top/>
      <bottom style="thin">
        <color indexed="64"/>
      </bottom>
      <diagonal/>
    </border>
    <border>
      <left style="double">
        <color indexed="30"/>
      </left>
      <right style="thin">
        <color indexed="64"/>
      </right>
      <top style="thin">
        <color indexed="30"/>
      </top>
      <bottom style="thin">
        <color indexed="64"/>
      </bottom>
      <diagonal/>
    </border>
    <border>
      <left style="thin">
        <color indexed="64"/>
      </left>
      <right style="thin">
        <color indexed="64"/>
      </right>
      <top style="thin">
        <color indexed="30"/>
      </top>
      <bottom style="thin">
        <color indexed="64"/>
      </bottom>
      <diagonal/>
    </border>
    <border>
      <left style="thin">
        <color indexed="64"/>
      </left>
      <right style="double">
        <color indexed="30"/>
      </right>
      <top style="thin">
        <color indexed="30"/>
      </top>
      <bottom style="thin">
        <color indexed="64"/>
      </bottom>
      <diagonal/>
    </border>
    <border>
      <left style="double">
        <color indexed="30"/>
      </left>
      <right style="thin">
        <color indexed="22"/>
      </right>
      <top style="double">
        <color indexed="30"/>
      </top>
      <bottom style="thin">
        <color indexed="22"/>
      </bottom>
      <diagonal/>
    </border>
    <border>
      <left style="thin">
        <color indexed="22"/>
      </left>
      <right style="double">
        <color indexed="30"/>
      </right>
      <top style="double">
        <color indexed="30"/>
      </top>
      <bottom style="thin">
        <color indexed="22"/>
      </bottom>
      <diagonal/>
    </border>
    <border>
      <left style="thin">
        <color indexed="22"/>
      </left>
      <right/>
      <top style="double">
        <color indexed="30"/>
      </top>
      <bottom/>
      <diagonal/>
    </border>
    <border>
      <left style="thin">
        <color indexed="22"/>
      </left>
      <right/>
      <top/>
      <bottom style="thin">
        <color indexed="22"/>
      </bottom>
      <diagonal/>
    </border>
    <border>
      <left style="thin">
        <color indexed="22"/>
      </left>
      <right style="thin">
        <color indexed="22"/>
      </right>
      <top style="double">
        <color indexed="30"/>
      </top>
      <bottom/>
      <diagonal/>
    </border>
    <border>
      <left style="thin">
        <color indexed="22"/>
      </left>
      <right style="thin">
        <color indexed="22"/>
      </right>
      <top/>
      <bottom style="thin">
        <color indexed="22"/>
      </bottom>
      <diagonal/>
    </border>
  </borders>
  <cellStyleXfs count="2">
    <xf numFmtId="0" fontId="0" fillId="0" borderId="0"/>
    <xf numFmtId="9" fontId="4" fillId="0" borderId="0" applyFont="0" applyFill="0" applyBorder="0" applyAlignment="0" applyProtection="0"/>
  </cellStyleXfs>
  <cellXfs count="88">
    <xf numFmtId="0" fontId="0" fillId="0" borderId="0" xfId="0"/>
    <xf numFmtId="0" fontId="0" fillId="0" borderId="0" xfId="0" applyAlignment="1">
      <alignment vertical="center"/>
    </xf>
    <xf numFmtId="0" fontId="1" fillId="2" borderId="0" xfId="0" applyFont="1" applyFill="1" applyAlignment="1">
      <alignment vertical="center"/>
    </xf>
    <xf numFmtId="0" fontId="3" fillId="0" borderId="0" xfId="0" applyFont="1" applyAlignment="1">
      <alignment horizontal="center" vertical="center"/>
    </xf>
    <xf numFmtId="0" fontId="3" fillId="2" borderId="0" xfId="0" applyFont="1" applyFill="1" applyAlignment="1">
      <alignment horizontal="center" vertical="center"/>
    </xf>
    <xf numFmtId="0" fontId="0" fillId="0" borderId="3" xfId="0" applyBorder="1" applyAlignment="1">
      <alignment vertical="center"/>
    </xf>
    <xf numFmtId="0" fontId="9" fillId="2" borderId="4" xfId="0" applyFont="1" applyFill="1" applyBorder="1" applyAlignment="1">
      <alignment vertical="center"/>
    </xf>
    <xf numFmtId="0" fontId="9" fillId="2" borderId="0" xfId="0" applyFont="1" applyFill="1" applyAlignment="1">
      <alignment vertical="center"/>
    </xf>
    <xf numFmtId="0" fontId="9" fillId="2" borderId="5" xfId="0" applyFont="1" applyFill="1" applyBorder="1" applyAlignment="1">
      <alignment vertical="center"/>
    </xf>
    <xf numFmtId="0" fontId="6" fillId="2" borderId="4" xfId="0" applyFont="1" applyFill="1" applyBorder="1" applyAlignment="1">
      <alignment horizontal="right" vertical="center"/>
    </xf>
    <xf numFmtId="0" fontId="6" fillId="2" borderId="0" xfId="0" applyFont="1" applyFill="1" applyAlignment="1">
      <alignment horizontal="right" vertical="center"/>
    </xf>
    <xf numFmtId="0" fontId="2" fillId="3" borderId="6" xfId="0" applyFont="1" applyFill="1" applyBorder="1" applyAlignment="1">
      <alignment horizontal="center" vertical="center"/>
    </xf>
    <xf numFmtId="0" fontId="2" fillId="0" borderId="7" xfId="0" applyFont="1" applyBorder="1" applyAlignment="1" applyProtection="1">
      <alignment horizontal="center" vertical="center"/>
      <protection locked="0"/>
    </xf>
    <xf numFmtId="0" fontId="2" fillId="3" borderId="7" xfId="0" applyFont="1" applyFill="1" applyBorder="1" applyAlignment="1">
      <alignment horizontal="center" vertical="center"/>
    </xf>
    <xf numFmtId="0" fontId="2" fillId="0" borderId="8" xfId="0" applyFont="1" applyBorder="1" applyAlignment="1" applyProtection="1">
      <alignment horizontal="center" vertical="center"/>
      <protection locked="0"/>
    </xf>
    <xf numFmtId="0" fontId="5" fillId="3" borderId="9" xfId="0" applyFont="1" applyFill="1" applyBorder="1" applyAlignment="1">
      <alignment horizontal="center" vertical="center"/>
    </xf>
    <xf numFmtId="10" fontId="2" fillId="4" borderId="10" xfId="1" applyNumberFormat="1" applyFont="1" applyFill="1" applyBorder="1" applyAlignment="1">
      <alignment horizontal="center" vertical="center"/>
    </xf>
    <xf numFmtId="9" fontId="2" fillId="4" borderId="10" xfId="1" applyFont="1" applyFill="1" applyBorder="1" applyAlignment="1">
      <alignment horizontal="center" vertical="center"/>
    </xf>
    <xf numFmtId="0" fontId="2" fillId="3" borderId="11" xfId="0" applyFont="1" applyFill="1" applyBorder="1" applyAlignment="1">
      <alignment horizontal="center" vertical="center"/>
    </xf>
    <xf numFmtId="0" fontId="2" fillId="0" borderId="12" xfId="0" applyFont="1" applyBorder="1" applyAlignment="1" applyProtection="1">
      <alignment horizontal="center" vertical="center"/>
      <protection locked="0"/>
    </xf>
    <xf numFmtId="0" fontId="2" fillId="3" borderId="12" xfId="0" applyFont="1" applyFill="1" applyBorder="1" applyAlignment="1">
      <alignment horizontal="center" vertical="center"/>
    </xf>
    <xf numFmtId="0" fontId="2" fillId="0" borderId="13" xfId="0" applyFont="1" applyBorder="1" applyAlignment="1" applyProtection="1">
      <alignment horizontal="center" vertical="center"/>
      <protection locked="0"/>
    </xf>
    <xf numFmtId="0" fontId="2" fillId="4" borderId="2" xfId="0" applyFont="1" applyFill="1" applyBorder="1" applyAlignment="1">
      <alignment horizontal="center" vertical="center"/>
    </xf>
    <xf numFmtId="0" fontId="2" fillId="4" borderId="9" xfId="0" applyFont="1" applyFill="1" applyBorder="1" applyAlignment="1">
      <alignment horizontal="center" vertical="center"/>
    </xf>
    <xf numFmtId="9" fontId="2" fillId="4" borderId="14" xfId="1" applyFont="1" applyFill="1" applyBorder="1" applyAlignment="1">
      <alignment horizontal="center" vertical="center"/>
    </xf>
    <xf numFmtId="0" fontId="10" fillId="4" borderId="7" xfId="0" applyFont="1" applyFill="1" applyBorder="1" applyAlignment="1" applyProtection="1">
      <alignment horizontal="center" vertical="center"/>
      <protection locked="0"/>
    </xf>
    <xf numFmtId="0" fontId="10" fillId="4" borderId="8" xfId="0" applyFont="1" applyFill="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16" xfId="0" applyFont="1" applyBorder="1" applyAlignment="1" applyProtection="1">
      <alignment horizontal="center" vertical="center"/>
      <protection locked="0"/>
    </xf>
    <xf numFmtId="0" fontId="2" fillId="4" borderId="17" xfId="0" applyFont="1" applyFill="1" applyBorder="1" applyAlignment="1">
      <alignment horizontal="center" vertical="center"/>
    </xf>
    <xf numFmtId="10" fontId="2" fillId="4" borderId="18" xfId="1" applyNumberFormat="1" applyFont="1" applyFill="1" applyBorder="1" applyAlignment="1">
      <alignment horizontal="center" vertical="center"/>
    </xf>
    <xf numFmtId="0" fontId="10" fillId="4" borderId="6" xfId="0" applyFont="1" applyFill="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5" fillId="3" borderId="19" xfId="0" applyFont="1" applyFill="1" applyBorder="1" applyAlignment="1">
      <alignment horizontal="center" vertical="center"/>
    </xf>
    <xf numFmtId="0" fontId="2" fillId="4" borderId="19" xfId="0" applyFont="1" applyFill="1" applyBorder="1" applyAlignment="1">
      <alignment horizontal="center" vertical="center"/>
    </xf>
    <xf numFmtId="9" fontId="2" fillId="4" borderId="20" xfId="1" applyFont="1" applyFill="1" applyBorder="1" applyAlignment="1">
      <alignment horizontal="center" vertical="center"/>
    </xf>
    <xf numFmtId="0" fontId="13" fillId="4" borderId="6" xfId="0" applyFont="1" applyFill="1" applyBorder="1" applyAlignment="1" applyProtection="1">
      <alignment horizontal="center" vertical="center"/>
      <protection locked="0"/>
    </xf>
    <xf numFmtId="0" fontId="13" fillId="4" borderId="7" xfId="0" applyFont="1" applyFill="1" applyBorder="1" applyAlignment="1" applyProtection="1">
      <alignment horizontal="center" vertical="center"/>
      <protection locked="0"/>
    </xf>
    <xf numFmtId="0" fontId="13" fillId="4" borderId="8" xfId="0" applyFont="1" applyFill="1" applyBorder="1" applyAlignment="1" applyProtection="1">
      <alignment horizontal="center" vertical="center"/>
      <protection locked="0"/>
    </xf>
    <xf numFmtId="0" fontId="12" fillId="3" borderId="6" xfId="0" applyFont="1" applyFill="1" applyBorder="1" applyAlignment="1">
      <alignment horizontal="center" vertical="center"/>
    </xf>
    <xf numFmtId="0" fontId="14" fillId="0" borderId="7" xfId="0" applyFont="1" applyBorder="1" applyAlignment="1" applyProtection="1">
      <alignment horizontal="center" vertical="center"/>
      <protection locked="0"/>
    </xf>
    <xf numFmtId="0" fontId="12" fillId="3" borderId="7" xfId="0" applyFont="1" applyFill="1" applyBorder="1" applyAlignment="1">
      <alignment horizontal="center" vertical="center"/>
    </xf>
    <xf numFmtId="0" fontId="14" fillId="0" borderId="8" xfId="0" applyFont="1" applyBorder="1" applyAlignment="1" applyProtection="1">
      <alignment horizontal="center" vertical="center"/>
      <protection locked="0"/>
    </xf>
    <xf numFmtId="0" fontId="13" fillId="3" borderId="19"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9" xfId="0" applyFont="1" applyFill="1" applyBorder="1" applyAlignment="1">
      <alignment horizontal="center" vertical="center"/>
    </xf>
    <xf numFmtId="0" fontId="3" fillId="0" borderId="0" xfId="0" applyFont="1" applyAlignment="1" applyProtection="1">
      <alignment horizontal="center" vertical="center"/>
      <protection locked="0"/>
    </xf>
    <xf numFmtId="0" fontId="5" fillId="3" borderId="2" xfId="0" applyFont="1" applyFill="1" applyBorder="1" applyAlignment="1">
      <alignment horizontal="center" vertical="center"/>
    </xf>
    <xf numFmtId="0" fontId="2" fillId="0" borderId="7" xfId="0" applyFont="1" applyBorder="1" applyAlignment="1" applyProtection="1">
      <alignment horizontal="center" vertical="center" wrapText="1"/>
      <protection locked="0"/>
    </xf>
    <xf numFmtId="0" fontId="0" fillId="0" borderId="21" xfId="0" applyBorder="1" applyAlignment="1">
      <alignment horizontal="center" vertical="center"/>
    </xf>
    <xf numFmtId="0" fontId="5" fillId="3" borderId="26"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23"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28" xfId="0" applyFont="1" applyFill="1" applyBorder="1" applyAlignment="1">
      <alignment horizontal="center" vertical="center"/>
    </xf>
    <xf numFmtId="0" fontId="7" fillId="2" borderId="29"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25" xfId="0" applyFont="1" applyFill="1" applyBorder="1" applyAlignment="1">
      <alignment horizontal="center" vertical="center"/>
    </xf>
    <xf numFmtId="0" fontId="11" fillId="3" borderId="30"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11" fillId="3" borderId="32" xfId="0" applyFont="1" applyFill="1" applyBorder="1" applyAlignment="1">
      <alignment horizontal="center" vertical="center" wrapText="1"/>
    </xf>
    <xf numFmtId="14" fontId="2" fillId="2" borderId="1" xfId="0" applyNumberFormat="1" applyFont="1" applyFill="1" applyBorder="1" applyAlignment="1" applyProtection="1">
      <alignment horizontal="center" vertical="center"/>
      <protection locked="0"/>
    </xf>
    <xf numFmtId="0" fontId="5" fillId="3" borderId="11"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42" xfId="0" applyFont="1" applyFill="1" applyBorder="1" applyAlignment="1">
      <alignment horizontal="center" vertical="center" wrapText="1"/>
    </xf>
    <xf numFmtId="0" fontId="5" fillId="3" borderId="43" xfId="0" applyFont="1" applyFill="1" applyBorder="1" applyAlignment="1">
      <alignment horizontal="center" vertical="center" wrapText="1"/>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38" xfId="0" applyFont="1" applyFill="1" applyBorder="1" applyAlignment="1">
      <alignment horizontal="center" vertical="center"/>
    </xf>
    <xf numFmtId="0" fontId="5" fillId="3" borderId="39"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5" fillId="3" borderId="22" xfId="0" applyFont="1" applyFill="1" applyBorder="1" applyAlignment="1">
      <alignment horizontal="center" vertical="center" wrapText="1"/>
    </xf>
    <xf numFmtId="0" fontId="5" fillId="3" borderId="24" xfId="0" applyFont="1" applyFill="1" applyBorder="1" applyAlignment="1">
      <alignment horizontal="center" vertical="center"/>
    </xf>
    <xf numFmtId="0" fontId="5" fillId="3" borderId="22" xfId="0" applyFont="1" applyFill="1" applyBorder="1" applyAlignment="1">
      <alignment horizontal="center" vertical="center"/>
    </xf>
    <xf numFmtId="14" fontId="6" fillId="2" borderId="1" xfId="0" applyNumberFormat="1" applyFont="1" applyFill="1" applyBorder="1" applyAlignment="1" applyProtection="1">
      <alignment horizontal="center" vertical="center"/>
      <protection locked="0"/>
    </xf>
    <xf numFmtId="0" fontId="5" fillId="3" borderId="33" xfId="0" applyFont="1" applyFill="1" applyBorder="1" applyAlignment="1">
      <alignment horizontal="center" vertical="center" wrapText="1"/>
    </xf>
    <xf numFmtId="0" fontId="5" fillId="3" borderId="35" xfId="0" applyFont="1" applyFill="1" applyBorder="1" applyAlignment="1">
      <alignment horizontal="center" vertical="center"/>
    </xf>
    <xf numFmtId="0" fontId="5" fillId="3" borderId="36" xfId="0" applyFont="1" applyFill="1" applyBorder="1" applyAlignment="1">
      <alignment horizontal="center" vertical="center"/>
    </xf>
    <xf numFmtId="0" fontId="5" fillId="3" borderId="37" xfId="0" applyFont="1" applyFill="1" applyBorder="1" applyAlignment="1">
      <alignment horizontal="center" vertical="center"/>
    </xf>
  </cellXfs>
  <cellStyles count="2">
    <cellStyle name="Normal" xfId="0" builtinId="0"/>
    <cellStyle name="Porcentaje" xfId="1" builtinId="5"/>
  </cellStyles>
  <dxfs count="32">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95" zoomScaleNormal="95" workbookViewId="0">
      <selection activeCell="F31" sqref="F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46235</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2</v>
      </c>
      <c r="F21" s="12"/>
      <c r="G21" s="12"/>
      <c r="H21" s="13">
        <f t="shared" si="0"/>
        <v>2</v>
      </c>
      <c r="I21" s="27">
        <v>1</v>
      </c>
      <c r="J21" s="32"/>
      <c r="K21" s="12">
        <v>1</v>
      </c>
      <c r="L21" s="12"/>
      <c r="M21" s="14"/>
      <c r="O21" s="4"/>
    </row>
    <row r="22" spans="1:15" s="3" customFormat="1" ht="19.5" customHeight="1" x14ac:dyDescent="0.25">
      <c r="A22" s="1"/>
      <c r="B22" s="11" t="s">
        <v>26</v>
      </c>
      <c r="C22" s="12"/>
      <c r="D22" s="12"/>
      <c r="E22" s="12">
        <v>7</v>
      </c>
      <c r="F22" s="12"/>
      <c r="G22" s="12"/>
      <c r="H22" s="13">
        <f t="shared" si="0"/>
        <v>7</v>
      </c>
      <c r="I22" s="27">
        <v>1</v>
      </c>
      <c r="J22" s="32"/>
      <c r="K22" s="12">
        <v>1</v>
      </c>
      <c r="L22" s="12"/>
      <c r="M22" s="14"/>
      <c r="O22" s="4"/>
    </row>
    <row r="23" spans="1:15" s="3" customFormat="1" ht="19.5" customHeight="1" x14ac:dyDescent="0.25">
      <c r="A23" s="1"/>
      <c r="B23" s="11" t="s">
        <v>27</v>
      </c>
      <c r="C23" s="12"/>
      <c r="D23" s="12"/>
      <c r="E23" s="12">
        <v>15</v>
      </c>
      <c r="F23" s="12">
        <v>14</v>
      </c>
      <c r="G23" s="12"/>
      <c r="H23" s="13">
        <f t="shared" si="0"/>
        <v>29</v>
      </c>
      <c r="I23" s="27"/>
      <c r="J23" s="32"/>
      <c r="K23" s="12">
        <v>1</v>
      </c>
      <c r="L23" s="12"/>
      <c r="M23" s="14"/>
      <c r="O23" s="4"/>
    </row>
    <row r="24" spans="1:15" s="3" customFormat="1" ht="19.5" customHeight="1" x14ac:dyDescent="0.25">
      <c r="A24" s="1"/>
      <c r="B24" s="11" t="s">
        <v>28</v>
      </c>
      <c r="C24" s="12"/>
      <c r="D24" s="12"/>
      <c r="E24" s="12">
        <v>2</v>
      </c>
      <c r="F24" s="12"/>
      <c r="G24" s="12">
        <v>1</v>
      </c>
      <c r="H24" s="13">
        <f t="shared" si="0"/>
        <v>3</v>
      </c>
      <c r="I24" s="27"/>
      <c r="J24" s="32"/>
      <c r="K24" s="12">
        <v>1</v>
      </c>
      <c r="L24" s="12"/>
      <c r="M24" s="14"/>
      <c r="O24" s="4"/>
    </row>
    <row r="25" spans="1:15" s="3" customFormat="1" ht="19.5" customHeight="1" x14ac:dyDescent="0.25">
      <c r="A25" s="1"/>
      <c r="B25" s="11" t="s">
        <v>29</v>
      </c>
      <c r="C25" s="12"/>
      <c r="D25" s="12"/>
      <c r="E25" s="12">
        <v>20</v>
      </c>
      <c r="F25" s="12">
        <v>8</v>
      </c>
      <c r="G25" s="12"/>
      <c r="H25" s="13">
        <f t="shared" si="0"/>
        <v>28</v>
      </c>
      <c r="I25" s="27"/>
      <c r="J25" s="32"/>
      <c r="K25" s="12">
        <v>1</v>
      </c>
      <c r="L25" s="12"/>
      <c r="M25" s="14"/>
      <c r="O25" s="4"/>
    </row>
    <row r="26" spans="1:15" s="3" customFormat="1" ht="19.5" customHeight="1" x14ac:dyDescent="0.25">
      <c r="A26" s="1"/>
      <c r="B26" s="11" t="s">
        <v>30</v>
      </c>
      <c r="C26" s="12"/>
      <c r="D26" s="12"/>
      <c r="E26" s="12">
        <v>19</v>
      </c>
      <c r="F26" s="12">
        <v>16</v>
      </c>
      <c r="G26" s="12"/>
      <c r="H26" s="13">
        <f t="shared" si="0"/>
        <v>35</v>
      </c>
      <c r="I26" s="27"/>
      <c r="J26" s="32"/>
      <c r="K26" s="12">
        <v>1</v>
      </c>
      <c r="L26" s="12"/>
      <c r="M26" s="14"/>
      <c r="O26" s="4"/>
    </row>
    <row r="27" spans="1:15" s="3" customFormat="1" ht="19.5" customHeight="1" x14ac:dyDescent="0.25">
      <c r="A27" s="1"/>
      <c r="B27" s="11" t="s">
        <v>31</v>
      </c>
      <c r="C27" s="12"/>
      <c r="D27" s="12"/>
      <c r="E27" s="12">
        <v>26</v>
      </c>
      <c r="F27" s="12">
        <v>12</v>
      </c>
      <c r="G27" s="12"/>
      <c r="H27" s="13">
        <f t="shared" si="0"/>
        <v>38</v>
      </c>
      <c r="I27" s="27"/>
      <c r="J27" s="32"/>
      <c r="K27" s="12">
        <v>1</v>
      </c>
      <c r="L27" s="12"/>
      <c r="M27" s="14"/>
      <c r="O27" s="4"/>
    </row>
    <row r="28" spans="1:15" s="3" customFormat="1" ht="19.5" customHeight="1" x14ac:dyDescent="0.25">
      <c r="A28" s="1"/>
      <c r="B28" s="11" t="s">
        <v>32</v>
      </c>
      <c r="C28" s="12"/>
      <c r="D28" s="12"/>
      <c r="E28" s="12">
        <v>27</v>
      </c>
      <c r="F28" s="12">
        <v>8</v>
      </c>
      <c r="G28" s="12"/>
      <c r="H28" s="13">
        <f t="shared" si="0"/>
        <v>35</v>
      </c>
      <c r="I28" s="27"/>
      <c r="J28" s="32"/>
      <c r="K28" s="12">
        <v>1</v>
      </c>
      <c r="L28" s="12"/>
      <c r="M28" s="14"/>
      <c r="O28" s="4"/>
    </row>
    <row r="29" spans="1:15" s="3" customFormat="1" ht="19.5" customHeight="1" x14ac:dyDescent="0.25">
      <c r="A29" s="1"/>
      <c r="B29" s="11" t="s">
        <v>33</v>
      </c>
      <c r="C29" s="12"/>
      <c r="D29" s="12"/>
      <c r="E29" s="12">
        <v>25</v>
      </c>
      <c r="F29" s="12"/>
      <c r="G29" s="12"/>
      <c r="H29" s="13">
        <f t="shared" si="0"/>
        <v>25</v>
      </c>
      <c r="I29" s="27"/>
      <c r="J29" s="32"/>
      <c r="K29" s="12">
        <v>1</v>
      </c>
      <c r="L29" s="12"/>
      <c r="M29" s="14"/>
      <c r="O29" s="4"/>
    </row>
    <row r="30" spans="1:15" s="3" customFormat="1" ht="19.5" customHeight="1" x14ac:dyDescent="0.25">
      <c r="A30" s="1"/>
      <c r="B30" s="11" t="s">
        <v>34</v>
      </c>
      <c r="C30" s="12"/>
      <c r="D30" s="12"/>
      <c r="E30" s="12">
        <v>24</v>
      </c>
      <c r="F30" s="12">
        <v>10</v>
      </c>
      <c r="G30" s="12"/>
      <c r="H30" s="13">
        <f t="shared" si="0"/>
        <v>34</v>
      </c>
      <c r="I30" s="27"/>
      <c r="J30" s="32"/>
      <c r="K30" s="12">
        <v>1</v>
      </c>
      <c r="L30" s="12"/>
      <c r="M30" s="14"/>
      <c r="O30" s="4"/>
    </row>
    <row r="31" spans="1:15" s="3" customFormat="1" ht="19.5" customHeight="1" x14ac:dyDescent="0.25">
      <c r="A31" s="1"/>
      <c r="B31" s="11" t="s">
        <v>35</v>
      </c>
      <c r="C31" s="12"/>
      <c r="D31" s="12"/>
      <c r="E31" s="12">
        <v>5</v>
      </c>
      <c r="F31" s="12">
        <v>6</v>
      </c>
      <c r="G31" s="12"/>
      <c r="H31" s="13">
        <f t="shared" si="0"/>
        <v>11</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2"/>
      <c r="E33" s="12"/>
      <c r="F33" s="12"/>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11</v>
      </c>
    </row>
    <row r="36" spans="1:16" x14ac:dyDescent="0.25">
      <c r="B36" s="64"/>
      <c r="C36" s="22">
        <f t="shared" ref="C36:M36" si="1">SUM(C10:C33)</f>
        <v>0</v>
      </c>
      <c r="D36" s="22">
        <f t="shared" si="1"/>
        <v>0</v>
      </c>
      <c r="E36" s="22">
        <f t="shared" si="1"/>
        <v>172</v>
      </c>
      <c r="F36" s="22">
        <f t="shared" si="1"/>
        <v>74</v>
      </c>
      <c r="G36" s="22">
        <f t="shared" si="1"/>
        <v>1</v>
      </c>
      <c r="H36" s="22">
        <f t="shared" si="1"/>
        <v>247</v>
      </c>
      <c r="I36" s="29">
        <f t="shared" si="1"/>
        <v>2</v>
      </c>
      <c r="J36" s="35">
        <f t="shared" si="1"/>
        <v>0</v>
      </c>
      <c r="K36" s="22">
        <f t="shared" si="1"/>
        <v>11</v>
      </c>
      <c r="L36" s="22">
        <f t="shared" si="1"/>
        <v>0</v>
      </c>
      <c r="M36" s="23">
        <f t="shared" si="1"/>
        <v>0</v>
      </c>
    </row>
    <row r="37" spans="1:16" ht="15.75" thickBot="1" x14ac:dyDescent="0.3">
      <c r="B37" s="65"/>
      <c r="C37" s="16">
        <f>((C36*100)/$H$36)/100</f>
        <v>0</v>
      </c>
      <c r="D37" s="16">
        <f t="shared" ref="D37:I37" si="2">((D36*100)/$H$36)/100</f>
        <v>0</v>
      </c>
      <c r="E37" s="16">
        <f t="shared" si="2"/>
        <v>0.69635627530364375</v>
      </c>
      <c r="F37" s="16">
        <f t="shared" si="2"/>
        <v>0.29959514170040485</v>
      </c>
      <c r="G37" s="16">
        <f t="shared" si="2"/>
        <v>4.048582995951417E-3</v>
      </c>
      <c r="H37" s="16">
        <f t="shared" si="2"/>
        <v>1</v>
      </c>
      <c r="I37" s="30">
        <f t="shared" si="2"/>
        <v>8.0971659919028341E-3</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I8:I9"/>
    <mergeCell ref="B34:B37"/>
    <mergeCell ref="D6:F6"/>
    <mergeCell ref="I6:K6"/>
    <mergeCell ref="B8:B9"/>
    <mergeCell ref="H8:H9"/>
    <mergeCell ref="G8:G9"/>
    <mergeCell ref="H34:H35"/>
    <mergeCell ref="J8:M8"/>
    <mergeCell ref="J34:M34"/>
    <mergeCell ref="C8:C9"/>
    <mergeCell ref="E34:E35"/>
    <mergeCell ref="F34:F35"/>
    <mergeCell ref="I34:I35"/>
    <mergeCell ref="F44:I44"/>
    <mergeCell ref="C34:C35"/>
    <mergeCell ref="D34:D35"/>
    <mergeCell ref="D8:D9"/>
    <mergeCell ref="F8:F9"/>
    <mergeCell ref="E8:E9"/>
    <mergeCell ref="G34:G35"/>
  </mergeCells>
  <phoneticPr fontId="0" type="noConversion"/>
  <conditionalFormatting sqref="J37:M37">
    <cfRule type="cellIs" dxfId="31"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4" zoomScale="96" zoomScaleNormal="96" workbookViewId="0">
      <selection activeCell="E32" sqref="E32"/>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46236</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47</v>
      </c>
      <c r="F21" s="12" t="s">
        <v>47</v>
      </c>
      <c r="G21" s="12" t="s">
        <v>47</v>
      </c>
      <c r="H21" s="13">
        <f t="shared" si="0"/>
        <v>0</v>
      </c>
      <c r="I21" s="27"/>
      <c r="J21" s="32"/>
      <c r="K21" s="12"/>
      <c r="L21" s="12"/>
      <c r="M21" s="14"/>
      <c r="O21" s="4"/>
    </row>
    <row r="22" spans="1:15" s="3" customFormat="1" ht="19.5" customHeight="1" x14ac:dyDescent="0.25">
      <c r="A22" s="1"/>
      <c r="B22" s="11" t="s">
        <v>26</v>
      </c>
      <c r="C22" s="12"/>
      <c r="D22" s="12"/>
      <c r="E22" s="12" t="s">
        <v>47</v>
      </c>
      <c r="F22" s="12" t="s">
        <v>47</v>
      </c>
      <c r="G22" s="12" t="s">
        <v>47</v>
      </c>
      <c r="H22" s="13">
        <f t="shared" si="0"/>
        <v>0</v>
      </c>
      <c r="I22" s="27"/>
      <c r="J22" s="32"/>
      <c r="K22" s="12"/>
      <c r="L22" s="12"/>
      <c r="M22" s="14"/>
      <c r="O22" s="4"/>
    </row>
    <row r="23" spans="1:15" s="3" customFormat="1" ht="19.5" customHeight="1" x14ac:dyDescent="0.25">
      <c r="A23" s="1"/>
      <c r="B23" s="11" t="s">
        <v>27</v>
      </c>
      <c r="C23" s="12"/>
      <c r="D23" s="12"/>
      <c r="E23" s="12" t="s">
        <v>47</v>
      </c>
      <c r="F23" s="12" t="s">
        <v>47</v>
      </c>
      <c r="G23" s="12" t="s">
        <v>47</v>
      </c>
      <c r="H23" s="13">
        <f t="shared" si="0"/>
        <v>0</v>
      </c>
      <c r="I23" s="27"/>
      <c r="J23" s="32"/>
      <c r="K23" s="12"/>
      <c r="L23" s="12"/>
      <c r="M23" s="14"/>
      <c r="O23" s="4"/>
    </row>
    <row r="24" spans="1:15" s="3" customFormat="1" ht="19.5" customHeight="1" x14ac:dyDescent="0.25">
      <c r="A24" s="1"/>
      <c r="B24" s="11" t="s">
        <v>28</v>
      </c>
      <c r="C24" s="12"/>
      <c r="D24" s="12"/>
      <c r="E24" s="12" t="s">
        <v>47</v>
      </c>
      <c r="F24" s="12" t="s">
        <v>47</v>
      </c>
      <c r="G24" s="12" t="s">
        <v>47</v>
      </c>
      <c r="H24" s="13">
        <f t="shared" si="0"/>
        <v>0</v>
      </c>
      <c r="I24" s="27"/>
      <c r="J24" s="32"/>
      <c r="K24" s="12"/>
      <c r="L24" s="12"/>
      <c r="M24" s="14"/>
      <c r="O24" s="4"/>
    </row>
    <row r="25" spans="1:15" s="3" customFormat="1" ht="19.5" customHeight="1" x14ac:dyDescent="0.25">
      <c r="A25" s="1"/>
      <c r="B25" s="11" t="s">
        <v>29</v>
      </c>
      <c r="C25" s="12"/>
      <c r="D25" s="12"/>
      <c r="E25" s="12" t="s">
        <v>47</v>
      </c>
      <c r="F25" s="12" t="s">
        <v>47</v>
      </c>
      <c r="G25" s="12" t="s">
        <v>47</v>
      </c>
      <c r="H25" s="13">
        <f t="shared" si="0"/>
        <v>0</v>
      </c>
      <c r="I25" s="27"/>
      <c r="J25" s="32"/>
      <c r="K25" s="12"/>
      <c r="L25" s="12"/>
      <c r="M25" s="14"/>
      <c r="O25" s="4"/>
    </row>
    <row r="26" spans="1:15" s="3" customFormat="1" ht="19.5" customHeight="1" x14ac:dyDescent="0.25">
      <c r="A26" s="1"/>
      <c r="B26" s="11" t="s">
        <v>30</v>
      </c>
      <c r="C26" s="12"/>
      <c r="D26" s="12"/>
      <c r="E26" s="12">
        <v>14</v>
      </c>
      <c r="F26" s="12">
        <v>16</v>
      </c>
      <c r="G26" s="12"/>
      <c r="H26" s="13">
        <f t="shared" si="0"/>
        <v>30</v>
      </c>
      <c r="I26" s="27"/>
      <c r="J26" s="32">
        <v>1</v>
      </c>
      <c r="K26" s="12"/>
      <c r="L26" s="12"/>
      <c r="M26" s="14"/>
      <c r="O26" s="4"/>
    </row>
    <row r="27" spans="1:15" s="3" customFormat="1" ht="19.5" customHeight="1" x14ac:dyDescent="0.25">
      <c r="A27" s="1"/>
      <c r="B27" s="11" t="s">
        <v>31</v>
      </c>
      <c r="C27" s="12"/>
      <c r="D27" s="12"/>
      <c r="E27" s="12" t="s">
        <v>47</v>
      </c>
      <c r="F27" s="12" t="s">
        <v>47</v>
      </c>
      <c r="G27" s="12" t="s">
        <v>47</v>
      </c>
      <c r="H27" s="13">
        <f t="shared" si="0"/>
        <v>0</v>
      </c>
      <c r="I27" s="27"/>
      <c r="J27" s="32"/>
      <c r="K27" s="12"/>
      <c r="L27" s="12"/>
      <c r="M27" s="14"/>
      <c r="O27" s="4"/>
    </row>
    <row r="28" spans="1:15" s="3" customFormat="1" ht="19.5" customHeight="1" x14ac:dyDescent="0.25">
      <c r="A28" s="1"/>
      <c r="B28" s="11" t="s">
        <v>32</v>
      </c>
      <c r="C28" s="12"/>
      <c r="D28" s="12"/>
      <c r="E28" s="12">
        <v>9</v>
      </c>
      <c r="F28" s="12">
        <v>4</v>
      </c>
      <c r="G28" s="12"/>
      <c r="H28" s="13">
        <f t="shared" si="0"/>
        <v>13</v>
      </c>
      <c r="I28" s="27"/>
      <c r="J28" s="32">
        <v>1</v>
      </c>
      <c r="K28" s="12"/>
      <c r="L28" s="12"/>
      <c r="M28" s="14"/>
      <c r="O28" s="4"/>
    </row>
    <row r="29" spans="1:15" s="3" customFormat="1" ht="19.5" customHeight="1" x14ac:dyDescent="0.25">
      <c r="A29" s="1"/>
      <c r="B29" s="11" t="s">
        <v>33</v>
      </c>
      <c r="C29" s="12"/>
      <c r="D29" s="12"/>
      <c r="E29" s="12">
        <v>14</v>
      </c>
      <c r="F29" s="12">
        <v>18</v>
      </c>
      <c r="G29" s="12"/>
      <c r="H29" s="13">
        <f t="shared" si="0"/>
        <v>32</v>
      </c>
      <c r="I29" s="27"/>
      <c r="J29" s="32">
        <v>1</v>
      </c>
      <c r="K29" s="12"/>
      <c r="L29" s="12"/>
      <c r="M29" s="14"/>
      <c r="O29" s="4"/>
    </row>
    <row r="30" spans="1:15" s="3" customFormat="1" ht="19.5" customHeight="1" x14ac:dyDescent="0.25">
      <c r="A30" s="1"/>
      <c r="B30" s="11" t="s">
        <v>34</v>
      </c>
      <c r="C30" s="12"/>
      <c r="D30" s="12"/>
      <c r="E30" s="12">
        <v>9</v>
      </c>
      <c r="F30" s="12"/>
      <c r="G30" s="12"/>
      <c r="H30" s="13">
        <f t="shared" si="0"/>
        <v>9</v>
      </c>
      <c r="I30" s="27"/>
      <c r="J30" s="32">
        <v>1</v>
      </c>
      <c r="K30" s="12"/>
      <c r="L30" s="12"/>
      <c r="M30" s="14"/>
      <c r="O30" s="4"/>
    </row>
    <row r="31" spans="1:15" s="3" customFormat="1" ht="19.5" customHeight="1" x14ac:dyDescent="0.25">
      <c r="A31" s="1"/>
      <c r="B31" s="11" t="s">
        <v>35</v>
      </c>
      <c r="C31" s="12"/>
      <c r="D31" s="12"/>
      <c r="E31" s="12">
        <v>4</v>
      </c>
      <c r="F31" s="12"/>
      <c r="G31" s="12"/>
      <c r="H31" s="13">
        <f t="shared" si="0"/>
        <v>4</v>
      </c>
      <c r="I31" s="27"/>
      <c r="J31" s="32">
        <v>1</v>
      </c>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5</v>
      </c>
    </row>
    <row r="36" spans="1:16" x14ac:dyDescent="0.25">
      <c r="B36" s="64"/>
      <c r="C36" s="22">
        <f t="shared" ref="C36:M36" si="1">SUM(C10:C33)</f>
        <v>0</v>
      </c>
      <c r="D36" s="22">
        <f t="shared" si="1"/>
        <v>0</v>
      </c>
      <c r="E36" s="22">
        <f t="shared" si="1"/>
        <v>50</v>
      </c>
      <c r="F36" s="22">
        <f t="shared" si="1"/>
        <v>38</v>
      </c>
      <c r="G36" s="22">
        <f t="shared" si="1"/>
        <v>0</v>
      </c>
      <c r="H36" s="22">
        <f t="shared" si="1"/>
        <v>88</v>
      </c>
      <c r="I36" s="29">
        <f t="shared" si="1"/>
        <v>0</v>
      </c>
      <c r="J36" s="35">
        <f t="shared" si="1"/>
        <v>5</v>
      </c>
      <c r="K36" s="22">
        <f t="shared" si="1"/>
        <v>0</v>
      </c>
      <c r="L36" s="22">
        <f t="shared" si="1"/>
        <v>0</v>
      </c>
      <c r="M36" s="23">
        <f t="shared" si="1"/>
        <v>0</v>
      </c>
    </row>
    <row r="37" spans="1:16" ht="15.75" thickBot="1" x14ac:dyDescent="0.3">
      <c r="B37" s="65"/>
      <c r="C37" s="16">
        <f>((C36*100)/$H$36)/100</f>
        <v>0</v>
      </c>
      <c r="D37" s="16">
        <f t="shared" ref="D37:I37" si="2">((D36*100)/$H$36)/100</f>
        <v>0</v>
      </c>
      <c r="E37" s="16">
        <f t="shared" si="2"/>
        <v>0.56818181818181823</v>
      </c>
      <c r="F37" s="16">
        <f t="shared" si="2"/>
        <v>0.43181818181818182</v>
      </c>
      <c r="G37" s="16">
        <f t="shared" si="2"/>
        <v>0</v>
      </c>
      <c r="H37" s="16">
        <f t="shared" si="2"/>
        <v>1</v>
      </c>
      <c r="I37" s="30">
        <f t="shared" si="2"/>
        <v>0</v>
      </c>
      <c r="J37" s="36">
        <f>((J36*100)/$P$35)/100</f>
        <v>1</v>
      </c>
      <c r="K37" s="17">
        <f>((K36*100)/$P$35)/100</f>
        <v>0</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30"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7" zoomScale="95" zoomScaleNormal="95" workbookViewId="0">
      <selection activeCell="F30" sqref="F3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46237</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48</v>
      </c>
      <c r="F21" s="12"/>
      <c r="G21" s="12"/>
      <c r="H21" s="13">
        <f t="shared" si="0"/>
        <v>0</v>
      </c>
      <c r="I21" s="27"/>
      <c r="J21" s="32"/>
      <c r="K21" s="12"/>
      <c r="L21" s="12"/>
      <c r="M21" s="14"/>
      <c r="O21" s="4"/>
    </row>
    <row r="22" spans="1:15" s="3" customFormat="1" ht="19.5" customHeight="1" x14ac:dyDescent="0.25">
      <c r="A22" s="1"/>
      <c r="B22" s="11" t="s">
        <v>26</v>
      </c>
      <c r="C22" s="12"/>
      <c r="D22" s="12"/>
      <c r="E22" s="12" t="s">
        <v>48</v>
      </c>
      <c r="F22" s="12"/>
      <c r="G22" s="12"/>
      <c r="H22" s="13">
        <f t="shared" si="0"/>
        <v>0</v>
      </c>
      <c r="I22" s="27"/>
      <c r="J22" s="32"/>
      <c r="K22" s="12"/>
      <c r="L22" s="12"/>
      <c r="M22" s="14"/>
      <c r="O22" s="4"/>
    </row>
    <row r="23" spans="1:15" s="3" customFormat="1" ht="19.5" customHeight="1" x14ac:dyDescent="0.25">
      <c r="A23" s="1"/>
      <c r="B23" s="11" t="s">
        <v>27</v>
      </c>
      <c r="C23" s="12"/>
      <c r="D23" s="12"/>
      <c r="E23" s="12" t="s">
        <v>48</v>
      </c>
      <c r="F23" s="12"/>
      <c r="G23" s="12"/>
      <c r="H23" s="13">
        <f t="shared" si="0"/>
        <v>0</v>
      </c>
      <c r="I23" s="27"/>
      <c r="J23" s="32"/>
      <c r="K23" s="12"/>
      <c r="L23" s="12"/>
      <c r="M23" s="14"/>
      <c r="O23" s="4"/>
    </row>
    <row r="24" spans="1:15" s="3" customFormat="1" ht="19.5" customHeight="1" x14ac:dyDescent="0.25">
      <c r="A24" s="1"/>
      <c r="B24" s="11" t="s">
        <v>28</v>
      </c>
      <c r="C24" s="12"/>
      <c r="D24" s="12"/>
      <c r="E24" s="12" t="s">
        <v>48</v>
      </c>
      <c r="F24" s="12"/>
      <c r="G24" s="12"/>
      <c r="H24" s="13">
        <f t="shared" si="0"/>
        <v>0</v>
      </c>
      <c r="I24" s="27"/>
      <c r="J24" s="32"/>
      <c r="K24" s="12"/>
      <c r="L24" s="12"/>
      <c r="M24" s="14"/>
      <c r="O24" s="4"/>
    </row>
    <row r="25" spans="1:15" s="3" customFormat="1" ht="19.5" customHeight="1" x14ac:dyDescent="0.25">
      <c r="A25" s="1"/>
      <c r="B25" s="11" t="s">
        <v>29</v>
      </c>
      <c r="C25" s="12"/>
      <c r="D25" s="12"/>
      <c r="E25" s="12" t="s">
        <v>48</v>
      </c>
      <c r="F25" s="12"/>
      <c r="G25" s="12"/>
      <c r="H25" s="13">
        <f t="shared" si="0"/>
        <v>0</v>
      </c>
      <c r="I25" s="27"/>
      <c r="J25" s="32"/>
      <c r="K25" s="12"/>
      <c r="L25" s="12"/>
      <c r="M25" s="14"/>
      <c r="O25" s="4"/>
    </row>
    <row r="26" spans="1:15" s="3" customFormat="1" ht="19.5" customHeight="1" x14ac:dyDescent="0.25">
      <c r="A26" s="1"/>
      <c r="B26" s="11" t="s">
        <v>30</v>
      </c>
      <c r="C26" s="12"/>
      <c r="D26" s="12"/>
      <c r="E26" s="12" t="s">
        <v>48</v>
      </c>
      <c r="F26" s="12"/>
      <c r="G26" s="12"/>
      <c r="H26" s="13">
        <f t="shared" si="0"/>
        <v>0</v>
      </c>
      <c r="I26" s="27"/>
      <c r="J26" s="32"/>
      <c r="K26" s="12"/>
      <c r="L26" s="12"/>
      <c r="M26" s="14"/>
      <c r="O26" s="4"/>
    </row>
    <row r="27" spans="1:15" s="3" customFormat="1" ht="19.5" customHeight="1" x14ac:dyDescent="0.25">
      <c r="A27" s="1"/>
      <c r="B27" s="11" t="s">
        <v>31</v>
      </c>
      <c r="C27" s="12"/>
      <c r="D27" s="12"/>
      <c r="E27" s="12">
        <v>2</v>
      </c>
      <c r="F27" s="12"/>
      <c r="G27" s="12"/>
      <c r="H27" s="13">
        <f t="shared" si="0"/>
        <v>2</v>
      </c>
      <c r="I27" s="27"/>
      <c r="J27" s="32"/>
      <c r="K27" s="12">
        <v>1</v>
      </c>
      <c r="L27" s="12"/>
      <c r="M27" s="14"/>
      <c r="O27" s="4"/>
    </row>
    <row r="28" spans="1:15" s="3" customFormat="1" ht="19.5" customHeight="1" x14ac:dyDescent="0.25">
      <c r="A28" s="1"/>
      <c r="B28" s="11" t="s">
        <v>32</v>
      </c>
      <c r="C28" s="12"/>
      <c r="D28" s="12"/>
      <c r="E28" s="12">
        <v>6</v>
      </c>
      <c r="F28" s="12">
        <v>18</v>
      </c>
      <c r="G28" s="12"/>
      <c r="H28" s="13">
        <f t="shared" si="0"/>
        <v>24</v>
      </c>
      <c r="I28" s="27"/>
      <c r="J28" s="32"/>
      <c r="K28" s="12">
        <v>1</v>
      </c>
      <c r="L28" s="12"/>
      <c r="M28" s="14"/>
      <c r="O28" s="4"/>
    </row>
    <row r="29" spans="1:15" s="3" customFormat="1" ht="19.5" customHeight="1" x14ac:dyDescent="0.25">
      <c r="A29" s="1"/>
      <c r="B29" s="11" t="s">
        <v>33</v>
      </c>
      <c r="C29" s="12"/>
      <c r="D29" s="12"/>
      <c r="E29" s="12">
        <v>6</v>
      </c>
      <c r="F29" s="12">
        <v>40</v>
      </c>
      <c r="G29" s="12"/>
      <c r="H29" s="13">
        <f t="shared" si="0"/>
        <v>46</v>
      </c>
      <c r="I29" s="27"/>
      <c r="J29" s="32"/>
      <c r="K29" s="12">
        <v>1</v>
      </c>
      <c r="L29" s="12"/>
      <c r="M29" s="14"/>
      <c r="O29" s="4"/>
    </row>
    <row r="30" spans="1:15" s="3" customFormat="1" ht="19.5" customHeight="1" x14ac:dyDescent="0.25">
      <c r="A30" s="1"/>
      <c r="B30" s="11" t="s">
        <v>34</v>
      </c>
      <c r="C30" s="12"/>
      <c r="D30" s="12"/>
      <c r="E30" s="12">
        <v>3</v>
      </c>
      <c r="F30" s="12">
        <v>18</v>
      </c>
      <c r="G30" s="12"/>
      <c r="H30" s="13">
        <f t="shared" si="0"/>
        <v>21</v>
      </c>
      <c r="I30" s="27"/>
      <c r="J30" s="32"/>
      <c r="K30" s="12">
        <v>1</v>
      </c>
      <c r="L30" s="12"/>
      <c r="M30" s="14"/>
      <c r="O30" s="4"/>
    </row>
    <row r="31" spans="1:15" s="3" customFormat="1" ht="19.5" customHeight="1" x14ac:dyDescent="0.25">
      <c r="A31" s="1"/>
      <c r="B31" s="11" t="s">
        <v>35</v>
      </c>
      <c r="C31" s="12"/>
      <c r="D31" s="12"/>
      <c r="E31" s="12"/>
      <c r="F31" s="12"/>
      <c r="G31" s="12"/>
      <c r="H31" s="13">
        <f t="shared" si="0"/>
        <v>0</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5</v>
      </c>
    </row>
    <row r="36" spans="1:16" x14ac:dyDescent="0.25">
      <c r="B36" s="64"/>
      <c r="C36" s="22">
        <f t="shared" ref="C36:M36" si="1">SUM(C10:C33)</f>
        <v>0</v>
      </c>
      <c r="D36" s="22">
        <f t="shared" si="1"/>
        <v>0</v>
      </c>
      <c r="E36" s="22">
        <f t="shared" si="1"/>
        <v>17</v>
      </c>
      <c r="F36" s="22">
        <f t="shared" si="1"/>
        <v>76</v>
      </c>
      <c r="G36" s="22">
        <f t="shared" si="1"/>
        <v>0</v>
      </c>
      <c r="H36" s="22">
        <f t="shared" si="1"/>
        <v>93</v>
      </c>
      <c r="I36" s="29">
        <f t="shared" si="1"/>
        <v>0</v>
      </c>
      <c r="J36" s="35">
        <f t="shared" si="1"/>
        <v>0</v>
      </c>
      <c r="K36" s="22">
        <f t="shared" si="1"/>
        <v>5</v>
      </c>
      <c r="L36" s="22">
        <f t="shared" si="1"/>
        <v>0</v>
      </c>
      <c r="M36" s="23">
        <f t="shared" si="1"/>
        <v>0</v>
      </c>
    </row>
    <row r="37" spans="1:16" ht="15.75" thickBot="1" x14ac:dyDescent="0.3">
      <c r="B37" s="65"/>
      <c r="C37" s="16">
        <f>((C36*100)/$H$36)/100</f>
        <v>0</v>
      </c>
      <c r="D37" s="16">
        <f t="shared" ref="D37:I37" si="2">((D36*100)/$H$36)/100</f>
        <v>0</v>
      </c>
      <c r="E37" s="16">
        <f t="shared" si="2"/>
        <v>0.18279569892473119</v>
      </c>
      <c r="F37" s="16">
        <f t="shared" si="2"/>
        <v>0.81720430107526876</v>
      </c>
      <c r="G37" s="16">
        <f t="shared" si="2"/>
        <v>0</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9"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4" zoomScale="96" zoomScaleNormal="96" workbookViewId="0">
      <selection activeCell="J30" sqref="J3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46238</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47</v>
      </c>
      <c r="F21" s="12"/>
      <c r="G21" s="12"/>
      <c r="H21" s="13">
        <f t="shared" si="0"/>
        <v>0</v>
      </c>
      <c r="I21" s="27"/>
      <c r="J21" s="32"/>
      <c r="K21" s="12"/>
      <c r="L21" s="12"/>
      <c r="M21" s="14"/>
      <c r="O21" s="4"/>
    </row>
    <row r="22" spans="1:15" s="3" customFormat="1" ht="19.5" customHeight="1" x14ac:dyDescent="0.25">
      <c r="A22" s="1"/>
      <c r="B22" s="11" t="s">
        <v>26</v>
      </c>
      <c r="C22" s="12"/>
      <c r="D22" s="12"/>
      <c r="E22" s="12" t="s">
        <v>47</v>
      </c>
      <c r="F22" s="12"/>
      <c r="G22" s="12"/>
      <c r="H22" s="13">
        <f t="shared" si="0"/>
        <v>0</v>
      </c>
      <c r="I22" s="27"/>
      <c r="J22" s="32"/>
      <c r="K22" s="12"/>
      <c r="L22" s="12"/>
      <c r="M22" s="14"/>
      <c r="O22" s="4"/>
    </row>
    <row r="23" spans="1:15" s="3" customFormat="1" ht="19.5" customHeight="1" x14ac:dyDescent="0.25">
      <c r="A23" s="1"/>
      <c r="B23" s="11" t="s">
        <v>27</v>
      </c>
      <c r="C23" s="12"/>
      <c r="D23" s="12"/>
      <c r="E23" s="12" t="s">
        <v>47</v>
      </c>
      <c r="F23" s="12"/>
      <c r="G23" s="12"/>
      <c r="H23" s="13">
        <f t="shared" si="0"/>
        <v>0</v>
      </c>
      <c r="I23" s="27"/>
      <c r="J23" s="32"/>
      <c r="K23" s="12"/>
      <c r="L23" s="12"/>
      <c r="M23" s="14"/>
      <c r="O23" s="4"/>
    </row>
    <row r="24" spans="1:15" s="3" customFormat="1" ht="19.5" customHeight="1" x14ac:dyDescent="0.25">
      <c r="A24" s="1"/>
      <c r="B24" s="11" t="s">
        <v>28</v>
      </c>
      <c r="C24" s="12"/>
      <c r="D24" s="12"/>
      <c r="E24" s="12" t="s">
        <v>47</v>
      </c>
      <c r="F24" s="12"/>
      <c r="G24" s="12"/>
      <c r="H24" s="13">
        <f t="shared" si="0"/>
        <v>0</v>
      </c>
      <c r="I24" s="27"/>
      <c r="J24" s="32"/>
      <c r="K24" s="12"/>
      <c r="L24" s="12"/>
      <c r="M24" s="14"/>
      <c r="O24" s="4"/>
    </row>
    <row r="25" spans="1:15" s="3" customFormat="1" ht="19.5" customHeight="1" x14ac:dyDescent="0.25">
      <c r="A25" s="1"/>
      <c r="B25" s="11" t="s">
        <v>29</v>
      </c>
      <c r="C25" s="12"/>
      <c r="D25" s="12"/>
      <c r="E25" s="12" t="s">
        <v>47</v>
      </c>
      <c r="F25" s="12"/>
      <c r="G25" s="12"/>
      <c r="H25" s="13">
        <f t="shared" si="0"/>
        <v>0</v>
      </c>
      <c r="I25" s="27"/>
      <c r="J25" s="32"/>
      <c r="K25" s="12"/>
      <c r="L25" s="12"/>
      <c r="M25" s="14"/>
      <c r="O25" s="4"/>
    </row>
    <row r="26" spans="1:15" s="3" customFormat="1" ht="19.5" customHeight="1" x14ac:dyDescent="0.25">
      <c r="A26" s="1"/>
      <c r="B26" s="11" t="s">
        <v>30</v>
      </c>
      <c r="C26" s="12"/>
      <c r="D26" s="12"/>
      <c r="E26" s="12" t="s">
        <v>47</v>
      </c>
      <c r="F26" s="12"/>
      <c r="G26" s="12"/>
      <c r="H26" s="13">
        <f t="shared" si="0"/>
        <v>0</v>
      </c>
      <c r="I26" s="27"/>
      <c r="J26" s="32"/>
      <c r="K26" s="12"/>
      <c r="L26" s="12"/>
      <c r="M26" s="14"/>
      <c r="O26" s="4"/>
    </row>
    <row r="27" spans="1:15" s="3" customFormat="1" ht="19.5" customHeight="1" x14ac:dyDescent="0.25">
      <c r="A27" s="1"/>
      <c r="B27" s="11" t="s">
        <v>31</v>
      </c>
      <c r="C27" s="12"/>
      <c r="D27" s="12"/>
      <c r="E27" s="12" t="s">
        <v>47</v>
      </c>
      <c r="F27" s="12"/>
      <c r="G27" s="12"/>
      <c r="H27" s="13">
        <f t="shared" si="0"/>
        <v>0</v>
      </c>
      <c r="I27" s="27"/>
      <c r="J27" s="32"/>
      <c r="K27" s="12"/>
      <c r="L27" s="12"/>
      <c r="M27" s="14"/>
      <c r="O27" s="4"/>
    </row>
    <row r="28" spans="1:15" s="3" customFormat="1" ht="19.5" customHeight="1" x14ac:dyDescent="0.25">
      <c r="A28" s="1"/>
      <c r="B28" s="11" t="s">
        <v>32</v>
      </c>
      <c r="C28" s="12"/>
      <c r="D28" s="12"/>
      <c r="E28" s="12">
        <v>9</v>
      </c>
      <c r="F28" s="12">
        <v>4</v>
      </c>
      <c r="G28" s="12"/>
      <c r="H28" s="13">
        <f t="shared" si="0"/>
        <v>13</v>
      </c>
      <c r="I28" s="27"/>
      <c r="J28" s="32"/>
      <c r="K28" s="12">
        <v>1</v>
      </c>
      <c r="L28" s="12"/>
      <c r="M28" s="14"/>
      <c r="O28" s="4"/>
    </row>
    <row r="29" spans="1:15" s="3" customFormat="1" ht="19.5" customHeight="1" x14ac:dyDescent="0.25">
      <c r="A29" s="1"/>
      <c r="B29" s="11" t="s">
        <v>33</v>
      </c>
      <c r="C29" s="12"/>
      <c r="D29" s="12"/>
      <c r="E29" s="12">
        <v>11</v>
      </c>
      <c r="F29" s="12">
        <v>22</v>
      </c>
      <c r="G29" s="12">
        <v>1</v>
      </c>
      <c r="H29" s="13">
        <f t="shared" si="0"/>
        <v>34</v>
      </c>
      <c r="I29" s="27"/>
      <c r="J29" s="32"/>
      <c r="K29" s="12">
        <v>1</v>
      </c>
      <c r="L29" s="12"/>
      <c r="M29" s="14"/>
      <c r="O29" s="4"/>
    </row>
    <row r="30" spans="1:15" s="3" customFormat="1" ht="19.5" customHeight="1" x14ac:dyDescent="0.25">
      <c r="A30" s="1"/>
      <c r="B30" s="11" t="s">
        <v>34</v>
      </c>
      <c r="C30" s="12"/>
      <c r="D30" s="12"/>
      <c r="E30" s="12">
        <v>8</v>
      </c>
      <c r="F30" s="12">
        <v>10</v>
      </c>
      <c r="G30" s="12"/>
      <c r="H30" s="13">
        <f t="shared" si="0"/>
        <v>18</v>
      </c>
      <c r="I30" s="27"/>
      <c r="J30" s="32">
        <v>1</v>
      </c>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3</v>
      </c>
    </row>
    <row r="36" spans="1:16" x14ac:dyDescent="0.25">
      <c r="B36" s="64"/>
      <c r="C36" s="22">
        <f t="shared" ref="C36:M36" si="1">SUM(C10:C33)</f>
        <v>0</v>
      </c>
      <c r="D36" s="22">
        <f t="shared" si="1"/>
        <v>0</v>
      </c>
      <c r="E36" s="22">
        <f t="shared" si="1"/>
        <v>28</v>
      </c>
      <c r="F36" s="22">
        <f t="shared" si="1"/>
        <v>36</v>
      </c>
      <c r="G36" s="22">
        <f t="shared" si="1"/>
        <v>1</v>
      </c>
      <c r="H36" s="22">
        <f t="shared" si="1"/>
        <v>65</v>
      </c>
      <c r="I36" s="29">
        <f t="shared" si="1"/>
        <v>0</v>
      </c>
      <c r="J36" s="35">
        <f t="shared" si="1"/>
        <v>1</v>
      </c>
      <c r="K36" s="22">
        <f t="shared" si="1"/>
        <v>2</v>
      </c>
      <c r="L36" s="22">
        <f t="shared" si="1"/>
        <v>0</v>
      </c>
      <c r="M36" s="23">
        <f t="shared" si="1"/>
        <v>0</v>
      </c>
    </row>
    <row r="37" spans="1:16" ht="15.75" thickBot="1" x14ac:dyDescent="0.3">
      <c r="B37" s="65"/>
      <c r="C37" s="16">
        <f>((C36*100)/$H$36)/100</f>
        <v>0</v>
      </c>
      <c r="D37" s="16">
        <f t="shared" ref="D37:I37" si="2">((D36*100)/$H$36)/100</f>
        <v>0</v>
      </c>
      <c r="E37" s="16">
        <f t="shared" si="2"/>
        <v>0.43076923076923079</v>
      </c>
      <c r="F37" s="16">
        <f t="shared" si="2"/>
        <v>0.55384615384615388</v>
      </c>
      <c r="G37" s="16">
        <f t="shared" si="2"/>
        <v>1.5384615384615385E-2</v>
      </c>
      <c r="H37" s="16">
        <f t="shared" si="2"/>
        <v>1</v>
      </c>
      <c r="I37" s="30">
        <f t="shared" si="2"/>
        <v>0</v>
      </c>
      <c r="J37" s="36">
        <f>((J36*100)/$P$35)/100</f>
        <v>0.33333333333333337</v>
      </c>
      <c r="K37" s="17">
        <f>((K36*100)/$P$35)/100</f>
        <v>0.66666666666666674</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8"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7" zoomScale="95" zoomScaleNormal="95" workbookViewId="0">
      <selection activeCell="K31" sqref="K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46239</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12"/>
      <c r="K21" s="12"/>
      <c r="L21" s="12"/>
      <c r="M21" s="14"/>
      <c r="O21" s="4"/>
    </row>
    <row r="22" spans="1:15" s="3" customFormat="1" ht="19.5" customHeight="1" x14ac:dyDescent="0.25">
      <c r="A22" s="1"/>
      <c r="B22" s="11" t="s">
        <v>26</v>
      </c>
      <c r="C22" s="12"/>
      <c r="D22" s="12"/>
      <c r="E22" s="12"/>
      <c r="F22" s="12"/>
      <c r="G22" s="12"/>
      <c r="H22" s="13">
        <f t="shared" si="0"/>
        <v>0</v>
      </c>
      <c r="I22" s="27"/>
      <c r="J22" s="12"/>
      <c r="K22" s="12"/>
      <c r="L22" s="12"/>
      <c r="M22" s="14"/>
      <c r="O22" s="4"/>
    </row>
    <row r="23" spans="1:15" s="3" customFormat="1" ht="19.5" customHeight="1" x14ac:dyDescent="0.25">
      <c r="A23" s="1"/>
      <c r="B23" s="11" t="s">
        <v>27</v>
      </c>
      <c r="C23" s="12"/>
      <c r="D23" s="12"/>
      <c r="E23" s="12"/>
      <c r="F23" s="12"/>
      <c r="G23" s="12"/>
      <c r="H23" s="13">
        <f t="shared" si="0"/>
        <v>0</v>
      </c>
      <c r="I23" s="27"/>
      <c r="J23" s="12"/>
      <c r="K23" s="12"/>
      <c r="L23" s="12"/>
      <c r="M23" s="14"/>
      <c r="O23" s="4"/>
    </row>
    <row r="24" spans="1:15" s="3" customFormat="1" ht="19.5" customHeight="1" x14ac:dyDescent="0.25">
      <c r="A24" s="1"/>
      <c r="B24" s="11" t="s">
        <v>28</v>
      </c>
      <c r="C24" s="12"/>
      <c r="D24" s="12"/>
      <c r="E24" s="12"/>
      <c r="F24" s="12"/>
      <c r="G24" s="12"/>
      <c r="H24" s="13">
        <f t="shared" si="0"/>
        <v>0</v>
      </c>
      <c r="I24" s="27"/>
      <c r="J24" s="12"/>
      <c r="K24" s="12"/>
      <c r="L24" s="12"/>
      <c r="M24" s="14"/>
      <c r="O24" s="4"/>
    </row>
    <row r="25" spans="1:15" s="3" customFormat="1" ht="19.5" customHeight="1" x14ac:dyDescent="0.25">
      <c r="A25" s="1"/>
      <c r="B25" s="11" t="s">
        <v>29</v>
      </c>
      <c r="C25" s="12"/>
      <c r="D25" s="12"/>
      <c r="E25" s="12"/>
      <c r="F25" s="12"/>
      <c r="G25" s="12"/>
      <c r="H25" s="13">
        <f t="shared" si="0"/>
        <v>0</v>
      </c>
      <c r="I25" s="27"/>
      <c r="J25" s="12"/>
      <c r="K25" s="12"/>
      <c r="L25" s="12"/>
      <c r="M25" s="14"/>
      <c r="O25" s="4"/>
    </row>
    <row r="26" spans="1:15" s="3" customFormat="1" ht="19.5" customHeight="1" x14ac:dyDescent="0.25">
      <c r="A26" s="1"/>
      <c r="B26" s="11" t="s">
        <v>30</v>
      </c>
      <c r="C26" s="12"/>
      <c r="D26" s="12"/>
      <c r="E26" s="12">
        <v>2</v>
      </c>
      <c r="F26" s="12"/>
      <c r="G26" s="12"/>
      <c r="H26" s="13">
        <f t="shared" si="0"/>
        <v>2</v>
      </c>
      <c r="I26" s="27"/>
      <c r="J26" s="12"/>
      <c r="K26" s="12">
        <v>1</v>
      </c>
      <c r="L26" s="12"/>
      <c r="M26" s="14"/>
      <c r="O26" s="4"/>
    </row>
    <row r="27" spans="1:15" s="3" customFormat="1" ht="19.5" customHeight="1" x14ac:dyDescent="0.25">
      <c r="A27" s="1"/>
      <c r="B27" s="11" t="s">
        <v>31</v>
      </c>
      <c r="C27" s="12"/>
      <c r="D27" s="12"/>
      <c r="E27" s="12">
        <v>2</v>
      </c>
      <c r="F27" s="12">
        <v>8</v>
      </c>
      <c r="G27" s="12"/>
      <c r="H27" s="13">
        <f t="shared" si="0"/>
        <v>10</v>
      </c>
      <c r="I27" s="27"/>
      <c r="J27" s="12"/>
      <c r="K27" s="12">
        <v>1</v>
      </c>
      <c r="L27" s="12"/>
      <c r="M27" s="14"/>
      <c r="O27" s="4"/>
    </row>
    <row r="28" spans="1:15" s="3" customFormat="1" ht="19.5" customHeight="1" x14ac:dyDescent="0.25">
      <c r="A28" s="1"/>
      <c r="B28" s="11" t="s">
        <v>32</v>
      </c>
      <c r="C28" s="12"/>
      <c r="D28" s="12"/>
      <c r="E28" s="12">
        <v>12</v>
      </c>
      <c r="F28" s="12">
        <v>16</v>
      </c>
      <c r="G28" s="12"/>
      <c r="H28" s="13">
        <f t="shared" si="0"/>
        <v>28</v>
      </c>
      <c r="I28" s="27"/>
      <c r="J28" s="12"/>
      <c r="K28" s="12">
        <v>1</v>
      </c>
      <c r="L28" s="12"/>
      <c r="M28" s="14"/>
      <c r="O28" s="4"/>
    </row>
    <row r="29" spans="1:15" s="3" customFormat="1" ht="19.5" customHeight="1" x14ac:dyDescent="0.25">
      <c r="A29" s="1"/>
      <c r="B29" s="11" t="s">
        <v>33</v>
      </c>
      <c r="C29" s="12"/>
      <c r="D29" s="12"/>
      <c r="E29" s="12">
        <v>17</v>
      </c>
      <c r="F29" s="12">
        <v>44</v>
      </c>
      <c r="G29" s="12"/>
      <c r="H29" s="13">
        <f t="shared" si="0"/>
        <v>61</v>
      </c>
      <c r="I29" s="27"/>
      <c r="J29" s="12"/>
      <c r="K29" s="12">
        <v>1</v>
      </c>
      <c r="L29" s="12"/>
      <c r="M29" s="14"/>
      <c r="O29" s="4"/>
    </row>
    <row r="30" spans="1:15" s="3" customFormat="1" ht="19.5" customHeight="1" x14ac:dyDescent="0.25">
      <c r="A30" s="1"/>
      <c r="B30" s="11" t="s">
        <v>34</v>
      </c>
      <c r="C30" s="12"/>
      <c r="D30" s="12"/>
      <c r="E30" s="12">
        <v>16</v>
      </c>
      <c r="F30" s="12">
        <v>16</v>
      </c>
      <c r="G30" s="12"/>
      <c r="H30" s="13">
        <f t="shared" si="0"/>
        <v>32</v>
      </c>
      <c r="I30" s="27"/>
      <c r="J30" s="12"/>
      <c r="K30" s="12">
        <v>1</v>
      </c>
      <c r="L30" s="12"/>
      <c r="M30" s="14"/>
      <c r="O30" s="4"/>
    </row>
    <row r="31" spans="1:15" s="3" customFormat="1" ht="19.5" customHeight="1" x14ac:dyDescent="0.25">
      <c r="A31" s="1"/>
      <c r="B31" s="11" t="s">
        <v>35</v>
      </c>
      <c r="C31" s="12"/>
      <c r="D31" s="12"/>
      <c r="E31" s="12">
        <v>1</v>
      </c>
      <c r="F31" s="12"/>
      <c r="G31" s="12"/>
      <c r="H31" s="13">
        <f t="shared" si="0"/>
        <v>1</v>
      </c>
      <c r="I31" s="27"/>
      <c r="J31" s="1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6</v>
      </c>
    </row>
    <row r="36" spans="1:16" x14ac:dyDescent="0.25">
      <c r="B36" s="64"/>
      <c r="C36" s="22">
        <f t="shared" ref="C36:M36" si="1">SUM(C10:C33)</f>
        <v>0</v>
      </c>
      <c r="D36" s="22">
        <f t="shared" si="1"/>
        <v>0</v>
      </c>
      <c r="E36" s="22">
        <f t="shared" si="1"/>
        <v>50</v>
      </c>
      <c r="F36" s="22">
        <f t="shared" si="1"/>
        <v>84</v>
      </c>
      <c r="G36" s="22">
        <f t="shared" si="1"/>
        <v>0</v>
      </c>
      <c r="H36" s="22">
        <f t="shared" si="1"/>
        <v>134</v>
      </c>
      <c r="I36" s="29">
        <f t="shared" si="1"/>
        <v>0</v>
      </c>
      <c r="J36" s="35">
        <f t="shared" si="1"/>
        <v>0</v>
      </c>
      <c r="K36" s="22">
        <f t="shared" si="1"/>
        <v>6</v>
      </c>
      <c r="L36" s="22">
        <f t="shared" si="1"/>
        <v>0</v>
      </c>
      <c r="M36" s="23">
        <f t="shared" si="1"/>
        <v>0</v>
      </c>
    </row>
    <row r="37" spans="1:16" ht="15.75" thickBot="1" x14ac:dyDescent="0.3">
      <c r="B37" s="65"/>
      <c r="C37" s="16">
        <f>((C36*100)/$H$36)/100</f>
        <v>0</v>
      </c>
      <c r="D37" s="16">
        <f t="shared" ref="D37:I37" si="2">((D36*100)/$H$36)/100</f>
        <v>0</v>
      </c>
      <c r="E37" s="16">
        <f t="shared" si="2"/>
        <v>0.37313432835820898</v>
      </c>
      <c r="F37" s="16">
        <f t="shared" si="2"/>
        <v>0.62686567164179108</v>
      </c>
      <c r="G37" s="16">
        <f t="shared" si="2"/>
        <v>0</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7"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4" zoomScale="98" zoomScaleNormal="98" workbookViewId="0">
      <selection activeCell="K30" sqref="K3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46240</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48</v>
      </c>
      <c r="F21" s="12"/>
      <c r="G21" s="12"/>
      <c r="H21" s="13">
        <f t="shared" si="0"/>
        <v>0</v>
      </c>
      <c r="I21" s="27"/>
      <c r="J21" s="32"/>
      <c r="K21" s="32"/>
      <c r="L21" s="12"/>
      <c r="M21" s="14"/>
      <c r="O21" s="4"/>
    </row>
    <row r="22" spans="1:15" s="3" customFormat="1" ht="19.5" customHeight="1" x14ac:dyDescent="0.25">
      <c r="A22" s="1"/>
      <c r="B22" s="11" t="s">
        <v>26</v>
      </c>
      <c r="C22" s="12"/>
      <c r="D22" s="12"/>
      <c r="E22" s="12" t="s">
        <v>48</v>
      </c>
      <c r="F22" s="12"/>
      <c r="G22" s="12"/>
      <c r="H22" s="13">
        <f t="shared" si="0"/>
        <v>0</v>
      </c>
      <c r="I22" s="27"/>
      <c r="J22" s="32"/>
      <c r="K22" s="32"/>
      <c r="L22" s="12"/>
      <c r="M22" s="14"/>
      <c r="O22" s="4"/>
    </row>
    <row r="23" spans="1:15" s="3" customFormat="1" ht="19.5" customHeight="1" x14ac:dyDescent="0.25">
      <c r="A23" s="1"/>
      <c r="B23" s="11" t="s">
        <v>27</v>
      </c>
      <c r="C23" s="12"/>
      <c r="D23" s="12"/>
      <c r="E23" s="12" t="s">
        <v>48</v>
      </c>
      <c r="F23" s="12"/>
      <c r="G23" s="12"/>
      <c r="H23" s="13">
        <f t="shared" si="0"/>
        <v>0</v>
      </c>
      <c r="I23" s="27"/>
      <c r="J23" s="32"/>
      <c r="K23" s="32"/>
      <c r="L23" s="12"/>
      <c r="M23" s="14"/>
      <c r="O23" s="4"/>
    </row>
    <row r="24" spans="1:15" s="3" customFormat="1" ht="19.5" customHeight="1" x14ac:dyDescent="0.25">
      <c r="A24" s="1"/>
      <c r="B24" s="11" t="s">
        <v>28</v>
      </c>
      <c r="C24" s="12"/>
      <c r="D24" s="12"/>
      <c r="E24" s="12" t="s">
        <v>48</v>
      </c>
      <c r="F24" s="12"/>
      <c r="G24" s="12"/>
      <c r="H24" s="13">
        <f t="shared" si="0"/>
        <v>0</v>
      </c>
      <c r="I24" s="27"/>
      <c r="J24" s="32"/>
      <c r="K24" s="32"/>
      <c r="L24" s="12"/>
      <c r="M24" s="14"/>
      <c r="O24" s="4"/>
    </row>
    <row r="25" spans="1:15" s="3" customFormat="1" ht="19.5" customHeight="1" x14ac:dyDescent="0.25">
      <c r="A25" s="1"/>
      <c r="B25" s="11" t="s">
        <v>29</v>
      </c>
      <c r="C25" s="12"/>
      <c r="D25" s="12"/>
      <c r="E25" s="12" t="s">
        <v>48</v>
      </c>
      <c r="F25" s="12"/>
      <c r="G25" s="12"/>
      <c r="H25" s="13">
        <f t="shared" si="0"/>
        <v>0</v>
      </c>
      <c r="I25" s="27"/>
      <c r="J25" s="32"/>
      <c r="K25" s="32"/>
      <c r="L25" s="12"/>
      <c r="M25" s="14"/>
      <c r="O25" s="4"/>
    </row>
    <row r="26" spans="1:15" s="3" customFormat="1" ht="19.5" customHeight="1" x14ac:dyDescent="0.25">
      <c r="A26" s="1"/>
      <c r="B26" s="11" t="s">
        <v>30</v>
      </c>
      <c r="C26" s="12"/>
      <c r="D26" s="12"/>
      <c r="E26" s="12" t="s">
        <v>48</v>
      </c>
      <c r="F26" s="12"/>
      <c r="G26" s="12"/>
      <c r="H26" s="13">
        <f t="shared" si="0"/>
        <v>0</v>
      </c>
      <c r="I26" s="27"/>
      <c r="J26" s="32"/>
      <c r="K26" s="32"/>
      <c r="L26" s="12"/>
      <c r="M26" s="14"/>
      <c r="O26" s="4"/>
    </row>
    <row r="27" spans="1:15" s="3" customFormat="1" ht="19.5" customHeight="1" x14ac:dyDescent="0.25">
      <c r="A27" s="1"/>
      <c r="B27" s="11" t="s">
        <v>31</v>
      </c>
      <c r="C27" s="12"/>
      <c r="D27" s="12"/>
      <c r="E27" s="12" t="s">
        <v>48</v>
      </c>
      <c r="F27" s="12"/>
      <c r="G27" s="12"/>
      <c r="H27" s="13">
        <f t="shared" si="0"/>
        <v>0</v>
      </c>
      <c r="I27" s="27"/>
      <c r="J27" s="32"/>
      <c r="K27" s="32"/>
      <c r="L27" s="12"/>
      <c r="M27" s="14"/>
      <c r="O27" s="4"/>
    </row>
    <row r="28" spans="1:15" s="3" customFormat="1" ht="19.5" customHeight="1" x14ac:dyDescent="0.25">
      <c r="A28" s="1"/>
      <c r="B28" s="11" t="s">
        <v>32</v>
      </c>
      <c r="C28" s="12"/>
      <c r="D28" s="12"/>
      <c r="E28" s="12" t="s">
        <v>48</v>
      </c>
      <c r="F28" s="12"/>
      <c r="G28" s="12"/>
      <c r="H28" s="13">
        <f t="shared" si="0"/>
        <v>0</v>
      </c>
      <c r="I28" s="27"/>
      <c r="J28" s="32"/>
      <c r="K28" s="32"/>
      <c r="L28" s="12"/>
      <c r="M28" s="14"/>
      <c r="O28" s="4"/>
    </row>
    <row r="29" spans="1:15" s="3" customFormat="1" ht="19.5" customHeight="1" x14ac:dyDescent="0.25">
      <c r="A29" s="1"/>
      <c r="B29" s="11" t="s">
        <v>33</v>
      </c>
      <c r="C29" s="12"/>
      <c r="D29" s="12"/>
      <c r="E29" s="12">
        <v>1</v>
      </c>
      <c r="F29" s="12"/>
      <c r="G29" s="12"/>
      <c r="H29" s="13">
        <f t="shared" si="0"/>
        <v>1</v>
      </c>
      <c r="I29" s="27"/>
      <c r="J29" s="32"/>
      <c r="K29" s="32">
        <v>1</v>
      </c>
      <c r="L29" s="12"/>
      <c r="M29" s="14"/>
      <c r="O29" s="4"/>
    </row>
    <row r="30" spans="1:15" s="3" customFormat="1" ht="19.5" customHeight="1" x14ac:dyDescent="0.25">
      <c r="A30" s="1"/>
      <c r="B30" s="11" t="s">
        <v>34</v>
      </c>
      <c r="C30" s="12"/>
      <c r="D30" s="12"/>
      <c r="E30" s="12">
        <v>1</v>
      </c>
      <c r="F30" s="12"/>
      <c r="G30" s="12"/>
      <c r="H30" s="13">
        <f t="shared" si="0"/>
        <v>1</v>
      </c>
      <c r="I30" s="27"/>
      <c r="J30" s="32"/>
      <c r="K30" s="32">
        <v>1</v>
      </c>
      <c r="L30" s="12"/>
      <c r="M30" s="14"/>
      <c r="O30" s="4"/>
    </row>
    <row r="31" spans="1:15" s="3" customFormat="1" ht="19.5" customHeight="1" x14ac:dyDescent="0.25">
      <c r="A31" s="1"/>
      <c r="B31" s="11" t="s">
        <v>35</v>
      </c>
      <c r="C31" s="12"/>
      <c r="D31" s="12"/>
      <c r="E31" s="12" t="s">
        <v>48</v>
      </c>
      <c r="F31" s="12"/>
      <c r="G31" s="12"/>
      <c r="H31" s="13">
        <f t="shared" si="0"/>
        <v>0</v>
      </c>
      <c r="I31" s="27"/>
      <c r="J31" s="32"/>
      <c r="K31" s="32"/>
      <c r="L31" s="12"/>
      <c r="M31" s="14"/>
      <c r="O31" s="4"/>
    </row>
    <row r="32" spans="1:15" s="3" customFormat="1" ht="19.5" customHeight="1" x14ac:dyDescent="0.25">
      <c r="A32" s="1"/>
      <c r="B32" s="11" t="s">
        <v>36</v>
      </c>
      <c r="C32" s="12"/>
      <c r="D32" s="12"/>
      <c r="E32" s="12"/>
      <c r="F32" s="12"/>
      <c r="G32" s="12"/>
      <c r="H32" s="13">
        <f t="shared" si="0"/>
        <v>0</v>
      </c>
      <c r="I32" s="27"/>
      <c r="J32" s="32"/>
      <c r="K32" s="32"/>
      <c r="L32" s="12"/>
      <c r="M32" s="14"/>
      <c r="O32" s="4"/>
    </row>
    <row r="33" spans="1:16" s="3" customFormat="1" ht="19.5" customHeight="1" thickBot="1" x14ac:dyDescent="0.3">
      <c r="A33" s="1"/>
      <c r="B33" s="18" t="s">
        <v>37</v>
      </c>
      <c r="C33" s="19"/>
      <c r="D33" s="19"/>
      <c r="E33" s="19"/>
      <c r="F33" s="19"/>
      <c r="G33" s="19"/>
      <c r="H33" s="20">
        <f t="shared" si="0"/>
        <v>0</v>
      </c>
      <c r="I33" s="28"/>
      <c r="J33" s="33"/>
      <c r="K33" s="33"/>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2</v>
      </c>
    </row>
    <row r="36" spans="1:16" x14ac:dyDescent="0.25">
      <c r="B36" s="64"/>
      <c r="C36" s="22">
        <f t="shared" ref="C36:M36" si="1">SUM(C10:C33)</f>
        <v>0</v>
      </c>
      <c r="D36" s="22">
        <f t="shared" si="1"/>
        <v>0</v>
      </c>
      <c r="E36" s="22">
        <f t="shared" si="1"/>
        <v>2</v>
      </c>
      <c r="F36" s="22">
        <f t="shared" si="1"/>
        <v>0</v>
      </c>
      <c r="G36" s="22">
        <f t="shared" si="1"/>
        <v>0</v>
      </c>
      <c r="H36" s="22">
        <f t="shared" si="1"/>
        <v>2</v>
      </c>
      <c r="I36" s="29">
        <f t="shared" si="1"/>
        <v>0</v>
      </c>
      <c r="J36" s="35">
        <f t="shared" si="1"/>
        <v>0</v>
      </c>
      <c r="K36" s="22">
        <f t="shared" si="1"/>
        <v>2</v>
      </c>
      <c r="L36" s="22">
        <f t="shared" si="1"/>
        <v>0</v>
      </c>
      <c r="M36" s="23">
        <f t="shared" si="1"/>
        <v>0</v>
      </c>
    </row>
    <row r="37" spans="1:16" ht="15.75" thickBot="1" x14ac:dyDescent="0.3">
      <c r="B37" s="65"/>
      <c r="C37" s="16">
        <f>((C36*100)/$H$36)/100</f>
        <v>0</v>
      </c>
      <c r="D37" s="16">
        <f t="shared" ref="D37:I37" si="2">((D36*100)/$H$36)/100</f>
        <v>0</v>
      </c>
      <c r="E37" s="16">
        <f t="shared" si="2"/>
        <v>1</v>
      </c>
      <c r="F37" s="16">
        <f t="shared" si="2"/>
        <v>0</v>
      </c>
      <c r="G37" s="16">
        <f t="shared" si="2"/>
        <v>0</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6"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7" zoomScaleNormal="100" workbookViewId="0">
      <selection activeCell="J31" sqref="J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46241</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v>1</v>
      </c>
      <c r="L21" s="12"/>
      <c r="M21" s="14"/>
      <c r="O21" s="4"/>
    </row>
    <row r="22" spans="1:15" s="3" customFormat="1" ht="19.5" customHeight="1" x14ac:dyDescent="0.25">
      <c r="A22" s="1"/>
      <c r="B22" s="11" t="s">
        <v>26</v>
      </c>
      <c r="C22" s="12"/>
      <c r="D22" s="12"/>
      <c r="E22" s="12">
        <v>9</v>
      </c>
      <c r="F22" s="12"/>
      <c r="G22" s="12"/>
      <c r="H22" s="13">
        <f t="shared" si="0"/>
        <v>9</v>
      </c>
      <c r="I22" s="27"/>
      <c r="J22" s="32"/>
      <c r="K22" s="12">
        <v>1</v>
      </c>
      <c r="L22" s="12"/>
      <c r="M22" s="14"/>
      <c r="O22" s="4"/>
    </row>
    <row r="23" spans="1:15" s="3" customFormat="1" ht="19.5" customHeight="1" x14ac:dyDescent="0.25">
      <c r="A23" s="1"/>
      <c r="B23" s="11" t="s">
        <v>27</v>
      </c>
      <c r="C23" s="12"/>
      <c r="D23" s="12"/>
      <c r="E23" s="12">
        <v>10</v>
      </c>
      <c r="F23" s="12"/>
      <c r="G23" s="12"/>
      <c r="H23" s="13">
        <f t="shared" si="0"/>
        <v>10</v>
      </c>
      <c r="I23" s="27">
        <v>1</v>
      </c>
      <c r="J23" s="32"/>
      <c r="K23" s="12">
        <v>1</v>
      </c>
      <c r="L23" s="12"/>
      <c r="M23" s="14"/>
      <c r="O23" s="4"/>
    </row>
    <row r="24" spans="1:15" s="3" customFormat="1" ht="19.5" customHeight="1" x14ac:dyDescent="0.25">
      <c r="A24" s="1"/>
      <c r="B24" s="11" t="s">
        <v>28</v>
      </c>
      <c r="C24" s="12"/>
      <c r="D24" s="12"/>
      <c r="E24" s="12">
        <v>9</v>
      </c>
      <c r="F24" s="12">
        <v>6</v>
      </c>
      <c r="G24" s="12">
        <v>1</v>
      </c>
      <c r="H24" s="13">
        <f t="shared" si="0"/>
        <v>16</v>
      </c>
      <c r="I24" s="27"/>
      <c r="J24" s="32"/>
      <c r="K24" s="12">
        <v>1</v>
      </c>
      <c r="L24" s="12"/>
      <c r="M24" s="14"/>
      <c r="O24" s="4"/>
    </row>
    <row r="25" spans="1:15" s="3" customFormat="1" ht="19.5" customHeight="1" x14ac:dyDescent="0.25">
      <c r="A25" s="1"/>
      <c r="B25" s="11" t="s">
        <v>29</v>
      </c>
      <c r="C25" s="12"/>
      <c r="D25" s="12"/>
      <c r="E25" s="12">
        <v>10</v>
      </c>
      <c r="F25" s="12"/>
      <c r="G25" s="12"/>
      <c r="H25" s="13">
        <f t="shared" si="0"/>
        <v>10</v>
      </c>
      <c r="I25" s="27"/>
      <c r="J25" s="32"/>
      <c r="K25" s="12">
        <v>1</v>
      </c>
      <c r="L25" s="12"/>
      <c r="M25" s="14"/>
      <c r="O25" s="4"/>
    </row>
    <row r="26" spans="1:15" s="3" customFormat="1" ht="19.5" customHeight="1" x14ac:dyDescent="0.25">
      <c r="A26" s="1"/>
      <c r="B26" s="11" t="s">
        <v>30</v>
      </c>
      <c r="C26" s="12"/>
      <c r="D26" s="12"/>
      <c r="E26" s="12">
        <v>15</v>
      </c>
      <c r="F26" s="12"/>
      <c r="G26" s="12">
        <v>1</v>
      </c>
      <c r="H26" s="13">
        <f t="shared" si="0"/>
        <v>16</v>
      </c>
      <c r="I26" s="27"/>
      <c r="J26" s="32"/>
      <c r="K26" s="12">
        <v>1</v>
      </c>
      <c r="L26" s="12"/>
      <c r="M26" s="14"/>
      <c r="O26" s="4"/>
    </row>
    <row r="27" spans="1:15" s="3" customFormat="1" ht="19.5" customHeight="1" x14ac:dyDescent="0.25">
      <c r="A27" s="1"/>
      <c r="B27" s="11" t="s">
        <v>31</v>
      </c>
      <c r="C27" s="12"/>
      <c r="D27" s="12"/>
      <c r="E27" s="12">
        <v>5</v>
      </c>
      <c r="F27" s="12">
        <v>4</v>
      </c>
      <c r="G27" s="12">
        <v>1</v>
      </c>
      <c r="H27" s="13">
        <f t="shared" si="0"/>
        <v>10</v>
      </c>
      <c r="I27" s="27"/>
      <c r="J27" s="32"/>
      <c r="K27" s="12"/>
      <c r="L27" s="12"/>
      <c r="M27" s="14"/>
      <c r="O27" s="4"/>
    </row>
    <row r="28" spans="1:15" s="3" customFormat="1" ht="19.5" customHeight="1" x14ac:dyDescent="0.25">
      <c r="A28" s="1"/>
      <c r="B28" s="11" t="s">
        <v>32</v>
      </c>
      <c r="C28" s="12"/>
      <c r="D28" s="12"/>
      <c r="E28" s="12">
        <v>2</v>
      </c>
      <c r="F28" s="12"/>
      <c r="G28" s="12"/>
      <c r="H28" s="13">
        <f t="shared" si="0"/>
        <v>2</v>
      </c>
      <c r="I28" s="27"/>
      <c r="J28" s="32">
        <v>1</v>
      </c>
      <c r="K28" s="12"/>
      <c r="L28" s="12"/>
      <c r="M28" s="14"/>
      <c r="O28" s="4"/>
    </row>
    <row r="29" spans="1:15" s="3" customFormat="1" ht="19.5" customHeight="1" x14ac:dyDescent="0.25">
      <c r="A29" s="1"/>
      <c r="B29" s="11" t="s">
        <v>33</v>
      </c>
      <c r="C29" s="12"/>
      <c r="D29" s="12"/>
      <c r="E29" s="12">
        <v>1</v>
      </c>
      <c r="F29" s="12"/>
      <c r="G29" s="12"/>
      <c r="H29" s="13">
        <f t="shared" si="0"/>
        <v>1</v>
      </c>
      <c r="I29" s="27"/>
      <c r="J29" s="32">
        <v>1</v>
      </c>
      <c r="K29" s="12"/>
      <c r="L29" s="12"/>
      <c r="M29" s="14"/>
      <c r="O29" s="4"/>
    </row>
    <row r="30" spans="1:15" s="3" customFormat="1" ht="19.5" customHeight="1" x14ac:dyDescent="0.25">
      <c r="A30" s="1"/>
      <c r="B30" s="11" t="s">
        <v>34</v>
      </c>
      <c r="C30" s="12"/>
      <c r="D30" s="12"/>
      <c r="E30" s="12">
        <v>16</v>
      </c>
      <c r="F30" s="12">
        <v>4</v>
      </c>
      <c r="G30" s="12"/>
      <c r="H30" s="13">
        <f t="shared" si="0"/>
        <v>20</v>
      </c>
      <c r="I30" s="27"/>
      <c r="J30" s="32">
        <v>1</v>
      </c>
      <c r="K30" s="12"/>
      <c r="L30" s="12"/>
      <c r="M30" s="14"/>
      <c r="O30" s="4"/>
    </row>
    <row r="31" spans="1:15" s="3" customFormat="1" ht="19.5" customHeight="1" x14ac:dyDescent="0.25">
      <c r="A31" s="1"/>
      <c r="B31" s="11" t="s">
        <v>35</v>
      </c>
      <c r="C31" s="12"/>
      <c r="D31" s="12"/>
      <c r="E31" s="12">
        <v>8</v>
      </c>
      <c r="F31" s="12"/>
      <c r="G31" s="12"/>
      <c r="H31" s="13">
        <f t="shared" si="0"/>
        <v>8</v>
      </c>
      <c r="I31" s="27"/>
      <c r="J31" s="32">
        <v>1</v>
      </c>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10</v>
      </c>
    </row>
    <row r="36" spans="1:16" x14ac:dyDescent="0.25">
      <c r="B36" s="64"/>
      <c r="C36" s="22">
        <f t="shared" ref="C36:M36" si="1">SUM(C10:C33)</f>
        <v>0</v>
      </c>
      <c r="D36" s="22">
        <f t="shared" si="1"/>
        <v>0</v>
      </c>
      <c r="E36" s="22">
        <f t="shared" si="1"/>
        <v>85</v>
      </c>
      <c r="F36" s="22">
        <f t="shared" si="1"/>
        <v>14</v>
      </c>
      <c r="G36" s="22">
        <f t="shared" si="1"/>
        <v>3</v>
      </c>
      <c r="H36" s="22">
        <f t="shared" si="1"/>
        <v>102</v>
      </c>
      <c r="I36" s="29">
        <f t="shared" si="1"/>
        <v>1</v>
      </c>
      <c r="J36" s="35">
        <f t="shared" si="1"/>
        <v>4</v>
      </c>
      <c r="K36" s="22">
        <f t="shared" si="1"/>
        <v>6</v>
      </c>
      <c r="L36" s="22">
        <f t="shared" si="1"/>
        <v>0</v>
      </c>
      <c r="M36" s="23">
        <f t="shared" si="1"/>
        <v>0</v>
      </c>
    </row>
    <row r="37" spans="1:16" ht="15.75" thickBot="1" x14ac:dyDescent="0.3">
      <c r="B37" s="65"/>
      <c r="C37" s="16">
        <f>((C36*100)/$H$36)/100</f>
        <v>0</v>
      </c>
      <c r="D37" s="16">
        <f t="shared" ref="D37:I37" si="2">((D36*100)/$H$36)/100</f>
        <v>0</v>
      </c>
      <c r="E37" s="16">
        <f t="shared" si="2"/>
        <v>0.83333333333333326</v>
      </c>
      <c r="F37" s="16">
        <f t="shared" si="2"/>
        <v>0.1372549019607843</v>
      </c>
      <c r="G37" s="16">
        <f t="shared" si="2"/>
        <v>2.9411764705882356E-2</v>
      </c>
      <c r="H37" s="16">
        <f t="shared" si="2"/>
        <v>1</v>
      </c>
      <c r="I37" s="30">
        <f t="shared" si="2"/>
        <v>9.8039215686274508E-3</v>
      </c>
      <c r="J37" s="36">
        <f>((J36*100)/$P$35)/100</f>
        <v>0.4</v>
      </c>
      <c r="K37" s="17">
        <f>((K36*100)/$P$35)/100</f>
        <v>0.6</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5"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0" zoomScale="106" zoomScaleNormal="106" workbookViewId="0">
      <selection activeCell="J31" sqref="J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46242</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v>1</v>
      </c>
      <c r="K22" s="12"/>
      <c r="L22" s="12"/>
      <c r="M22" s="14"/>
      <c r="O22" s="4"/>
    </row>
    <row r="23" spans="1:15" s="3" customFormat="1" ht="19.5" customHeight="1" x14ac:dyDescent="0.25">
      <c r="A23" s="1"/>
      <c r="B23" s="11" t="s">
        <v>27</v>
      </c>
      <c r="C23" s="12"/>
      <c r="D23" s="12"/>
      <c r="E23" s="12">
        <v>1</v>
      </c>
      <c r="F23" s="12"/>
      <c r="G23" s="12">
        <v>9</v>
      </c>
      <c r="H23" s="13">
        <f t="shared" si="0"/>
        <v>10</v>
      </c>
      <c r="I23" s="27"/>
      <c r="J23" s="32">
        <v>1</v>
      </c>
      <c r="K23" s="12"/>
      <c r="L23" s="12"/>
      <c r="M23" s="14"/>
      <c r="O23" s="4"/>
    </row>
    <row r="24" spans="1:15" s="3" customFormat="1" ht="19.5" customHeight="1" x14ac:dyDescent="0.25">
      <c r="A24" s="1"/>
      <c r="B24" s="11" t="s">
        <v>28</v>
      </c>
      <c r="C24" s="12"/>
      <c r="D24" s="12"/>
      <c r="E24" s="12">
        <v>1</v>
      </c>
      <c r="F24" s="12"/>
      <c r="G24" s="12"/>
      <c r="H24" s="13">
        <f t="shared" si="0"/>
        <v>1</v>
      </c>
      <c r="I24" s="27"/>
      <c r="J24" s="32">
        <v>1</v>
      </c>
      <c r="K24" s="12"/>
      <c r="L24" s="12"/>
      <c r="M24" s="14"/>
      <c r="O24" s="4"/>
    </row>
    <row r="25" spans="1:15" s="3" customFormat="1" ht="19.5" customHeight="1" x14ac:dyDescent="0.25">
      <c r="A25" s="1"/>
      <c r="B25" s="11" t="s">
        <v>29</v>
      </c>
      <c r="C25" s="12"/>
      <c r="D25" s="12"/>
      <c r="E25" s="12">
        <v>4</v>
      </c>
      <c r="F25" s="12"/>
      <c r="G25" s="12"/>
      <c r="H25" s="13">
        <f t="shared" si="0"/>
        <v>4</v>
      </c>
      <c r="I25" s="27"/>
      <c r="J25" s="32">
        <v>1</v>
      </c>
      <c r="K25" s="12"/>
      <c r="L25" s="12"/>
      <c r="M25" s="14"/>
      <c r="O25" s="4"/>
    </row>
    <row r="26" spans="1:15" s="3" customFormat="1" ht="19.5" customHeight="1" x14ac:dyDescent="0.25">
      <c r="A26" s="1"/>
      <c r="B26" s="11" t="s">
        <v>30</v>
      </c>
      <c r="C26" s="12"/>
      <c r="D26" s="12"/>
      <c r="E26" s="12">
        <v>7</v>
      </c>
      <c r="F26" s="12"/>
      <c r="G26" s="12"/>
      <c r="H26" s="13">
        <f t="shared" si="0"/>
        <v>7</v>
      </c>
      <c r="I26" s="27"/>
      <c r="J26" s="32">
        <v>1</v>
      </c>
      <c r="K26" s="12"/>
      <c r="L26" s="12"/>
      <c r="M26" s="14"/>
      <c r="O26" s="4"/>
    </row>
    <row r="27" spans="1:15" s="3" customFormat="1" ht="19.5" customHeight="1" x14ac:dyDescent="0.25">
      <c r="A27" s="1"/>
      <c r="B27" s="11" t="s">
        <v>31</v>
      </c>
      <c r="C27" s="12"/>
      <c r="D27" s="12"/>
      <c r="E27" s="12">
        <v>4</v>
      </c>
      <c r="F27" s="12"/>
      <c r="G27" s="12"/>
      <c r="H27" s="13">
        <f t="shared" si="0"/>
        <v>4</v>
      </c>
      <c r="I27" s="27"/>
      <c r="J27" s="32">
        <v>1</v>
      </c>
      <c r="K27" s="12"/>
      <c r="L27" s="12"/>
      <c r="M27" s="14"/>
      <c r="O27" s="4"/>
    </row>
    <row r="28" spans="1:15" s="3" customFormat="1" ht="19.5" customHeight="1" x14ac:dyDescent="0.25">
      <c r="A28" s="1"/>
      <c r="B28" s="11" t="s">
        <v>32</v>
      </c>
      <c r="C28" s="12"/>
      <c r="D28" s="12"/>
      <c r="E28" s="12">
        <v>8</v>
      </c>
      <c r="F28" s="12">
        <v>8</v>
      </c>
      <c r="G28" s="12"/>
      <c r="H28" s="13">
        <f t="shared" si="0"/>
        <v>16</v>
      </c>
      <c r="I28" s="27"/>
      <c r="J28" s="32">
        <v>1</v>
      </c>
      <c r="K28" s="12"/>
      <c r="L28" s="12"/>
      <c r="M28" s="14"/>
      <c r="O28" s="4"/>
    </row>
    <row r="29" spans="1:15" s="3" customFormat="1" ht="19.5" customHeight="1" x14ac:dyDescent="0.25">
      <c r="A29" s="1"/>
      <c r="B29" s="11" t="s">
        <v>33</v>
      </c>
      <c r="C29" s="12"/>
      <c r="D29" s="12"/>
      <c r="E29" s="12">
        <v>15</v>
      </c>
      <c r="F29" s="12"/>
      <c r="G29" s="12"/>
      <c r="H29" s="13">
        <f t="shared" si="0"/>
        <v>15</v>
      </c>
      <c r="I29" s="27"/>
      <c r="J29" s="32">
        <v>1</v>
      </c>
      <c r="K29" s="12"/>
      <c r="L29" s="12"/>
      <c r="M29" s="14"/>
      <c r="O29" s="4"/>
    </row>
    <row r="30" spans="1:15" s="3" customFormat="1" ht="19.5" customHeight="1" x14ac:dyDescent="0.25">
      <c r="A30" s="1"/>
      <c r="B30" s="11" t="s">
        <v>34</v>
      </c>
      <c r="C30" s="12"/>
      <c r="D30" s="12"/>
      <c r="E30" s="12">
        <v>11</v>
      </c>
      <c r="F30" s="12">
        <v>4</v>
      </c>
      <c r="G30" s="12"/>
      <c r="H30" s="13">
        <f t="shared" si="0"/>
        <v>15</v>
      </c>
      <c r="I30" s="27"/>
      <c r="J30" s="32">
        <v>1</v>
      </c>
      <c r="K30" s="12"/>
      <c r="L30" s="12"/>
      <c r="M30" s="14"/>
      <c r="O30" s="4"/>
    </row>
    <row r="31" spans="1:15" s="3" customFormat="1" ht="19.5" customHeight="1" x14ac:dyDescent="0.25">
      <c r="A31" s="1"/>
      <c r="B31" s="11" t="s">
        <v>35</v>
      </c>
      <c r="C31" s="12"/>
      <c r="D31" s="12"/>
      <c r="E31" s="47">
        <v>5</v>
      </c>
      <c r="F31" s="12"/>
      <c r="G31" s="12"/>
      <c r="H31" s="13">
        <f t="shared" si="0"/>
        <v>5</v>
      </c>
      <c r="I31" s="27"/>
      <c r="J31" s="32">
        <v>1</v>
      </c>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10</v>
      </c>
    </row>
    <row r="36" spans="1:16" x14ac:dyDescent="0.25">
      <c r="B36" s="64"/>
      <c r="C36" s="22">
        <f t="shared" ref="C36:M36" si="1">SUM(C10:C33)</f>
        <v>0</v>
      </c>
      <c r="D36" s="22">
        <f t="shared" si="1"/>
        <v>0</v>
      </c>
      <c r="E36" s="22">
        <f>SUM(E10:E33)</f>
        <v>56</v>
      </c>
      <c r="F36" s="22">
        <f t="shared" si="1"/>
        <v>12</v>
      </c>
      <c r="G36" s="22">
        <f t="shared" si="1"/>
        <v>9</v>
      </c>
      <c r="H36" s="22">
        <f t="shared" si="1"/>
        <v>77</v>
      </c>
      <c r="I36" s="29">
        <f t="shared" si="1"/>
        <v>0</v>
      </c>
      <c r="J36" s="35">
        <f t="shared" si="1"/>
        <v>10</v>
      </c>
      <c r="K36" s="22">
        <f t="shared" si="1"/>
        <v>0</v>
      </c>
      <c r="L36" s="22">
        <f t="shared" si="1"/>
        <v>0</v>
      </c>
      <c r="M36" s="23">
        <f t="shared" si="1"/>
        <v>0</v>
      </c>
    </row>
    <row r="37" spans="1:16" ht="15.75" thickBot="1" x14ac:dyDescent="0.3">
      <c r="B37" s="65"/>
      <c r="C37" s="16">
        <f>((C36*100)/$H$36)/100</f>
        <v>0</v>
      </c>
      <c r="D37" s="16">
        <f t="shared" ref="D37:I37" si="2">((D36*100)/$H$36)/100</f>
        <v>0</v>
      </c>
      <c r="E37" s="16">
        <f t="shared" si="2"/>
        <v>0.72727272727272729</v>
      </c>
      <c r="F37" s="16">
        <f t="shared" si="2"/>
        <v>0.15584415584415584</v>
      </c>
      <c r="G37" s="16">
        <f t="shared" si="2"/>
        <v>0.11688311688311689</v>
      </c>
      <c r="H37" s="16">
        <f t="shared" si="2"/>
        <v>1</v>
      </c>
      <c r="I37" s="30">
        <f t="shared" si="2"/>
        <v>0</v>
      </c>
      <c r="J37" s="36">
        <f>((J36*100)/$P$35)/100</f>
        <v>1</v>
      </c>
      <c r="K37" s="17">
        <f>((K36*100)/$P$35)/100</f>
        <v>0</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4"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0" zoomScale="112" zoomScaleNormal="112" workbookViewId="0">
      <selection activeCell="F31" sqref="F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46243</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7</v>
      </c>
      <c r="F21" s="12"/>
      <c r="G21" s="12"/>
      <c r="H21" s="13">
        <f t="shared" si="0"/>
        <v>7</v>
      </c>
      <c r="I21" s="27">
        <v>1</v>
      </c>
      <c r="J21" s="32"/>
      <c r="K21" s="12">
        <v>1</v>
      </c>
      <c r="L21" s="12"/>
      <c r="M21" s="14"/>
      <c r="O21" s="4"/>
    </row>
    <row r="22" spans="1:15" s="3" customFormat="1" ht="19.5" customHeight="1" x14ac:dyDescent="0.25">
      <c r="A22" s="1"/>
      <c r="B22" s="11" t="s">
        <v>26</v>
      </c>
      <c r="C22" s="12"/>
      <c r="D22" s="12"/>
      <c r="E22" s="12">
        <v>6</v>
      </c>
      <c r="F22" s="12"/>
      <c r="G22" s="12"/>
      <c r="H22" s="13">
        <f t="shared" si="0"/>
        <v>6</v>
      </c>
      <c r="I22" s="27">
        <v>1</v>
      </c>
      <c r="J22" s="32"/>
      <c r="K22" s="12">
        <v>1</v>
      </c>
      <c r="L22" s="12"/>
      <c r="M22" s="14"/>
      <c r="O22" s="4"/>
    </row>
    <row r="23" spans="1:15" s="3" customFormat="1" ht="19.5" customHeight="1" x14ac:dyDescent="0.25">
      <c r="A23" s="1"/>
      <c r="B23" s="11" t="s">
        <v>27</v>
      </c>
      <c r="C23" s="12"/>
      <c r="D23" s="12"/>
      <c r="E23" s="12">
        <v>9</v>
      </c>
      <c r="F23" s="12"/>
      <c r="G23" s="12"/>
      <c r="H23" s="13">
        <f t="shared" si="0"/>
        <v>9</v>
      </c>
      <c r="I23" s="27">
        <v>1</v>
      </c>
      <c r="J23" s="32"/>
      <c r="K23" s="12">
        <v>1</v>
      </c>
      <c r="L23" s="12"/>
      <c r="M23" s="14"/>
      <c r="O23" s="4"/>
    </row>
    <row r="24" spans="1:15" s="3" customFormat="1" ht="19.5" customHeight="1" x14ac:dyDescent="0.25">
      <c r="A24" s="1"/>
      <c r="B24" s="11" t="s">
        <v>28</v>
      </c>
      <c r="C24" s="12"/>
      <c r="D24" s="12"/>
      <c r="E24" s="12">
        <v>5</v>
      </c>
      <c r="F24" s="12">
        <v>2</v>
      </c>
      <c r="G24" s="12"/>
      <c r="H24" s="13">
        <f t="shared" si="0"/>
        <v>7</v>
      </c>
      <c r="I24" s="27"/>
      <c r="J24" s="32"/>
      <c r="K24" s="12">
        <v>1</v>
      </c>
      <c r="L24" s="12"/>
      <c r="M24" s="14"/>
      <c r="O24" s="4"/>
    </row>
    <row r="25" spans="1:15" s="3" customFormat="1" ht="19.5" customHeight="1" x14ac:dyDescent="0.25">
      <c r="A25" s="1"/>
      <c r="B25" s="11" t="s">
        <v>29</v>
      </c>
      <c r="C25" s="12"/>
      <c r="D25" s="12"/>
      <c r="E25" s="12">
        <v>9</v>
      </c>
      <c r="F25" s="12">
        <v>10</v>
      </c>
      <c r="G25" s="12">
        <v>1</v>
      </c>
      <c r="H25" s="13">
        <f t="shared" si="0"/>
        <v>20</v>
      </c>
      <c r="I25" s="27"/>
      <c r="J25" s="32"/>
      <c r="K25" s="12">
        <v>1</v>
      </c>
      <c r="L25" s="12"/>
      <c r="M25" s="14"/>
      <c r="O25" s="4"/>
    </row>
    <row r="26" spans="1:15" s="3" customFormat="1" ht="19.5" customHeight="1" x14ac:dyDescent="0.25">
      <c r="A26" s="1"/>
      <c r="B26" s="11" t="s">
        <v>30</v>
      </c>
      <c r="C26" s="12"/>
      <c r="D26" s="12"/>
      <c r="E26" s="12">
        <v>10</v>
      </c>
      <c r="F26" s="12">
        <v>10</v>
      </c>
      <c r="G26" s="12"/>
      <c r="H26" s="13">
        <f t="shared" si="0"/>
        <v>20</v>
      </c>
      <c r="I26" s="27"/>
      <c r="J26" s="32"/>
      <c r="K26" s="12">
        <v>1</v>
      </c>
      <c r="L26" s="12"/>
      <c r="M26" s="14"/>
      <c r="O26" s="4"/>
    </row>
    <row r="27" spans="1:15" s="3" customFormat="1" ht="19.5" customHeight="1" x14ac:dyDescent="0.25">
      <c r="A27" s="1"/>
      <c r="B27" s="11" t="s">
        <v>31</v>
      </c>
      <c r="C27" s="12"/>
      <c r="D27" s="12"/>
      <c r="E27" s="12">
        <v>8</v>
      </c>
      <c r="F27" s="12">
        <v>16</v>
      </c>
      <c r="G27" s="12"/>
      <c r="H27" s="13">
        <f t="shared" si="0"/>
        <v>24</v>
      </c>
      <c r="I27" s="27"/>
      <c r="J27" s="32"/>
      <c r="K27" s="12">
        <v>1</v>
      </c>
      <c r="L27" s="12"/>
      <c r="M27" s="14"/>
      <c r="O27" s="4"/>
    </row>
    <row r="28" spans="1:15" s="3" customFormat="1" ht="19.5" customHeight="1" x14ac:dyDescent="0.25">
      <c r="A28" s="1"/>
      <c r="B28" s="11" t="s">
        <v>32</v>
      </c>
      <c r="C28" s="12"/>
      <c r="D28" s="12"/>
      <c r="E28" s="12">
        <v>14</v>
      </c>
      <c r="F28" s="12"/>
      <c r="G28" s="12"/>
      <c r="H28" s="13">
        <f t="shared" si="0"/>
        <v>14</v>
      </c>
      <c r="I28" s="27"/>
      <c r="J28" s="32"/>
      <c r="K28" s="12">
        <v>1</v>
      </c>
      <c r="L28" s="12"/>
      <c r="M28" s="14"/>
      <c r="O28" s="4"/>
    </row>
    <row r="29" spans="1:15" s="3" customFormat="1" ht="19.5" customHeight="1" x14ac:dyDescent="0.25">
      <c r="A29" s="1"/>
      <c r="B29" s="11" t="s">
        <v>33</v>
      </c>
      <c r="C29" s="12"/>
      <c r="D29" s="12"/>
      <c r="E29" s="12">
        <v>16</v>
      </c>
      <c r="F29" s="12">
        <v>2</v>
      </c>
      <c r="G29" s="12"/>
      <c r="H29" s="13">
        <f t="shared" si="0"/>
        <v>18</v>
      </c>
      <c r="I29" s="27"/>
      <c r="J29" s="32"/>
      <c r="K29" s="12">
        <v>1</v>
      </c>
      <c r="L29" s="12"/>
      <c r="M29" s="14"/>
      <c r="O29" s="4"/>
    </row>
    <row r="30" spans="1:15" s="3" customFormat="1" ht="19.5" customHeight="1" x14ac:dyDescent="0.25">
      <c r="A30" s="1"/>
      <c r="B30" s="11" t="s">
        <v>34</v>
      </c>
      <c r="C30" s="12"/>
      <c r="D30" s="12"/>
      <c r="E30" s="12">
        <v>15</v>
      </c>
      <c r="F30" s="12">
        <v>14</v>
      </c>
      <c r="G30" s="12"/>
      <c r="H30" s="13">
        <f t="shared" si="0"/>
        <v>29</v>
      </c>
      <c r="I30" s="27"/>
      <c r="J30" s="32"/>
      <c r="K30" s="12">
        <v>1</v>
      </c>
      <c r="L30" s="12"/>
      <c r="M30" s="14"/>
      <c r="O30" s="4"/>
    </row>
    <row r="31" spans="1:15" s="3" customFormat="1" ht="19.5" customHeight="1" x14ac:dyDescent="0.25">
      <c r="A31" s="1"/>
      <c r="B31" s="11" t="s">
        <v>35</v>
      </c>
      <c r="C31" s="12"/>
      <c r="D31" s="12"/>
      <c r="E31" s="12">
        <v>5</v>
      </c>
      <c r="F31" s="12"/>
      <c r="G31" s="12"/>
      <c r="H31" s="13">
        <f t="shared" si="0"/>
        <v>5</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10</v>
      </c>
    </row>
    <row r="36" spans="1:16" x14ac:dyDescent="0.25">
      <c r="B36" s="64"/>
      <c r="C36" s="22">
        <f t="shared" ref="C36:M36" si="1">SUM(C10:C33)</f>
        <v>0</v>
      </c>
      <c r="D36" s="22">
        <f t="shared" si="1"/>
        <v>0</v>
      </c>
      <c r="E36" s="22">
        <f t="shared" si="1"/>
        <v>104</v>
      </c>
      <c r="F36" s="22">
        <f t="shared" si="1"/>
        <v>54</v>
      </c>
      <c r="G36" s="22">
        <f t="shared" si="1"/>
        <v>1</v>
      </c>
      <c r="H36" s="22">
        <f t="shared" si="1"/>
        <v>159</v>
      </c>
      <c r="I36" s="29">
        <f t="shared" si="1"/>
        <v>3</v>
      </c>
      <c r="J36" s="35">
        <f t="shared" si="1"/>
        <v>0</v>
      </c>
      <c r="K36" s="22">
        <f t="shared" si="1"/>
        <v>10</v>
      </c>
      <c r="L36" s="22">
        <f t="shared" si="1"/>
        <v>0</v>
      </c>
      <c r="M36" s="23">
        <f t="shared" si="1"/>
        <v>0</v>
      </c>
    </row>
    <row r="37" spans="1:16" ht="15.75" thickBot="1" x14ac:dyDescent="0.3">
      <c r="B37" s="65"/>
      <c r="C37" s="16">
        <f>((C36*100)/$H$36)/100</f>
        <v>0</v>
      </c>
      <c r="D37" s="16">
        <f t="shared" ref="D37:I37" si="2">((D36*100)/$H$36)/100</f>
        <v>0</v>
      </c>
      <c r="E37" s="16">
        <f t="shared" si="2"/>
        <v>0.65408805031446549</v>
      </c>
      <c r="F37" s="16">
        <f t="shared" si="2"/>
        <v>0.339622641509434</v>
      </c>
      <c r="G37" s="16">
        <f t="shared" si="2"/>
        <v>6.2893081761006284E-3</v>
      </c>
      <c r="H37" s="16">
        <f t="shared" si="2"/>
        <v>1</v>
      </c>
      <c r="I37" s="30">
        <f t="shared" si="2"/>
        <v>1.8867924528301886E-2</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3"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3" zoomScaleNormal="100" workbookViewId="0">
      <selection activeCell="E31" sqref="E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46244</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0</v>
      </c>
      <c r="F21" s="12"/>
      <c r="G21" s="12"/>
      <c r="H21" s="13">
        <f t="shared" si="0"/>
        <v>0</v>
      </c>
      <c r="I21" s="27"/>
      <c r="J21" s="32"/>
      <c r="K21" s="12">
        <v>1</v>
      </c>
      <c r="L21" s="12"/>
      <c r="M21" s="14"/>
      <c r="O21" s="4"/>
    </row>
    <row r="22" spans="1:15" s="3" customFormat="1" ht="19.5" customHeight="1" x14ac:dyDescent="0.25">
      <c r="A22" s="1"/>
      <c r="B22" s="11" t="s">
        <v>26</v>
      </c>
      <c r="C22" s="12"/>
      <c r="D22" s="12"/>
      <c r="E22" s="12">
        <v>0</v>
      </c>
      <c r="F22" s="12"/>
      <c r="G22" s="12"/>
      <c r="H22" s="13">
        <f t="shared" si="0"/>
        <v>0</v>
      </c>
      <c r="I22" s="27"/>
      <c r="J22" s="32"/>
      <c r="K22" s="12">
        <v>1</v>
      </c>
      <c r="L22" s="12"/>
      <c r="M22" s="14"/>
      <c r="O22" s="4"/>
    </row>
    <row r="23" spans="1:15" s="3" customFormat="1" ht="19.5" customHeight="1" x14ac:dyDescent="0.25">
      <c r="A23" s="1"/>
      <c r="B23" s="11" t="s">
        <v>27</v>
      </c>
      <c r="C23" s="12"/>
      <c r="D23" s="12"/>
      <c r="E23" s="12">
        <v>1</v>
      </c>
      <c r="F23" s="12"/>
      <c r="G23" s="12"/>
      <c r="H23" s="13">
        <f t="shared" si="0"/>
        <v>1</v>
      </c>
      <c r="I23" s="27"/>
      <c r="J23" s="32"/>
      <c r="K23" s="12">
        <v>1</v>
      </c>
      <c r="L23" s="12"/>
      <c r="M23" s="14"/>
      <c r="O23" s="4"/>
    </row>
    <row r="24" spans="1:15" s="3" customFormat="1" ht="19.5" customHeight="1" x14ac:dyDescent="0.25">
      <c r="A24" s="1"/>
      <c r="B24" s="11" t="s">
        <v>28</v>
      </c>
      <c r="C24" s="12"/>
      <c r="D24" s="12"/>
      <c r="E24" s="12">
        <v>1</v>
      </c>
      <c r="F24" s="12"/>
      <c r="G24" s="12"/>
      <c r="H24" s="13">
        <f t="shared" si="0"/>
        <v>1</v>
      </c>
      <c r="I24" s="27"/>
      <c r="J24" s="32"/>
      <c r="K24" s="12">
        <v>1</v>
      </c>
      <c r="L24" s="12"/>
      <c r="M24" s="14"/>
      <c r="O24" s="4"/>
    </row>
    <row r="25" spans="1:15" s="3" customFormat="1" ht="19.5" customHeight="1" x14ac:dyDescent="0.25">
      <c r="A25" s="1"/>
      <c r="B25" s="11" t="s">
        <v>29</v>
      </c>
      <c r="C25" s="12"/>
      <c r="D25" s="12"/>
      <c r="E25" s="12">
        <v>2</v>
      </c>
      <c r="F25" s="12"/>
      <c r="G25" s="12"/>
      <c r="H25" s="13">
        <f t="shared" si="0"/>
        <v>2</v>
      </c>
      <c r="I25" s="27">
        <v>1</v>
      </c>
      <c r="J25" s="32"/>
      <c r="K25" s="32">
        <v>1</v>
      </c>
      <c r="L25" s="12"/>
      <c r="M25" s="14"/>
      <c r="O25" s="4"/>
    </row>
    <row r="26" spans="1:15" s="3" customFormat="1" ht="19.5" customHeight="1" x14ac:dyDescent="0.25">
      <c r="A26" s="1"/>
      <c r="B26" s="11" t="s">
        <v>30</v>
      </c>
      <c r="C26" s="12"/>
      <c r="D26" s="12"/>
      <c r="E26" s="12">
        <v>3</v>
      </c>
      <c r="F26" s="12">
        <v>8</v>
      </c>
      <c r="G26" s="12"/>
      <c r="H26" s="13">
        <f t="shared" si="0"/>
        <v>11</v>
      </c>
      <c r="I26" s="27"/>
      <c r="J26" s="32"/>
      <c r="K26" s="32">
        <v>1</v>
      </c>
      <c r="L26" s="12"/>
      <c r="M26" s="14"/>
      <c r="O26" s="4"/>
    </row>
    <row r="27" spans="1:15" s="3" customFormat="1" ht="19.5" customHeight="1" x14ac:dyDescent="0.25">
      <c r="A27" s="1"/>
      <c r="B27" s="11" t="s">
        <v>31</v>
      </c>
      <c r="C27" s="12"/>
      <c r="D27" s="12"/>
      <c r="E27" s="12">
        <v>13</v>
      </c>
      <c r="F27" s="12"/>
      <c r="G27" s="12"/>
      <c r="H27" s="13">
        <f t="shared" si="0"/>
        <v>13</v>
      </c>
      <c r="I27" s="27"/>
      <c r="J27" s="32"/>
      <c r="K27" s="32">
        <v>1</v>
      </c>
      <c r="L27" s="12"/>
      <c r="M27" s="14"/>
      <c r="O27" s="4"/>
    </row>
    <row r="28" spans="1:15" s="3" customFormat="1" ht="19.5" customHeight="1" x14ac:dyDescent="0.25">
      <c r="A28" s="1"/>
      <c r="B28" s="11" t="s">
        <v>32</v>
      </c>
      <c r="C28" s="12"/>
      <c r="D28" s="12"/>
      <c r="E28" s="12">
        <v>21</v>
      </c>
      <c r="F28" s="12">
        <v>6</v>
      </c>
      <c r="G28" s="12"/>
      <c r="H28" s="13">
        <f t="shared" si="0"/>
        <v>27</v>
      </c>
      <c r="I28" s="27"/>
      <c r="J28" s="32"/>
      <c r="K28" s="32">
        <v>1</v>
      </c>
      <c r="L28" s="12"/>
      <c r="M28" s="14"/>
      <c r="O28" s="4"/>
    </row>
    <row r="29" spans="1:15" s="3" customFormat="1" ht="19.5" customHeight="1" x14ac:dyDescent="0.25">
      <c r="A29" s="1"/>
      <c r="B29" s="11" t="s">
        <v>33</v>
      </c>
      <c r="C29" s="12"/>
      <c r="D29" s="12"/>
      <c r="E29" s="12">
        <v>30</v>
      </c>
      <c r="F29" s="12">
        <v>22</v>
      </c>
      <c r="G29" s="12"/>
      <c r="H29" s="13">
        <f t="shared" si="0"/>
        <v>52</v>
      </c>
      <c r="I29" s="27"/>
      <c r="J29" s="32"/>
      <c r="K29" s="32">
        <v>1</v>
      </c>
      <c r="L29" s="12"/>
      <c r="M29" s="14"/>
      <c r="O29" s="4"/>
    </row>
    <row r="30" spans="1:15" s="3" customFormat="1" ht="19.5" customHeight="1" x14ac:dyDescent="0.25">
      <c r="A30" s="1"/>
      <c r="B30" s="11" t="s">
        <v>34</v>
      </c>
      <c r="C30" s="12"/>
      <c r="D30" s="12"/>
      <c r="E30" s="12">
        <v>26</v>
      </c>
      <c r="F30" s="12">
        <v>6</v>
      </c>
      <c r="G30" s="12"/>
      <c r="H30" s="13">
        <f t="shared" si="0"/>
        <v>32</v>
      </c>
      <c r="I30" s="27"/>
      <c r="J30" s="32"/>
      <c r="K30" s="32">
        <v>1</v>
      </c>
      <c r="L30" s="12"/>
      <c r="M30" s="14"/>
      <c r="O30" s="4"/>
    </row>
    <row r="31" spans="1:15" s="3" customFormat="1" ht="19.5" customHeight="1" x14ac:dyDescent="0.25">
      <c r="A31" s="1"/>
      <c r="B31" s="11" t="s">
        <v>35</v>
      </c>
      <c r="C31" s="12"/>
      <c r="D31" s="12"/>
      <c r="E31" s="12">
        <v>9</v>
      </c>
      <c r="F31" s="12"/>
      <c r="G31" s="12"/>
      <c r="H31" s="13">
        <f t="shared" si="0"/>
        <v>9</v>
      </c>
      <c r="I31" s="27"/>
      <c r="J31" s="32"/>
      <c r="K31" s="3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11</v>
      </c>
    </row>
    <row r="36" spans="1:16" x14ac:dyDescent="0.25">
      <c r="B36" s="64"/>
      <c r="C36" s="22">
        <f t="shared" ref="C36:M36" si="1">SUM(C10:C33)</f>
        <v>0</v>
      </c>
      <c r="D36" s="22">
        <f t="shared" si="1"/>
        <v>0</v>
      </c>
      <c r="E36" s="22">
        <f t="shared" si="1"/>
        <v>106</v>
      </c>
      <c r="F36" s="22">
        <f t="shared" si="1"/>
        <v>42</v>
      </c>
      <c r="G36" s="22">
        <f t="shared" si="1"/>
        <v>0</v>
      </c>
      <c r="H36" s="22">
        <f t="shared" si="1"/>
        <v>148</v>
      </c>
      <c r="I36" s="29">
        <f t="shared" si="1"/>
        <v>1</v>
      </c>
      <c r="J36" s="35">
        <f t="shared" si="1"/>
        <v>0</v>
      </c>
      <c r="K36" s="22">
        <f t="shared" si="1"/>
        <v>11</v>
      </c>
      <c r="L36" s="22">
        <f t="shared" si="1"/>
        <v>0</v>
      </c>
      <c r="M36" s="23">
        <f t="shared" si="1"/>
        <v>0</v>
      </c>
    </row>
    <row r="37" spans="1:16" ht="15.75" thickBot="1" x14ac:dyDescent="0.3">
      <c r="B37" s="65"/>
      <c r="C37" s="16">
        <f>((C36*100)/$H$36)/100</f>
        <v>0</v>
      </c>
      <c r="D37" s="16">
        <f t="shared" ref="D37:I37" si="2">((D36*100)/$H$36)/100</f>
        <v>0</v>
      </c>
      <c r="E37" s="16">
        <f t="shared" si="2"/>
        <v>0.71621621621621623</v>
      </c>
      <c r="F37" s="16">
        <f t="shared" si="2"/>
        <v>0.28378378378378377</v>
      </c>
      <c r="G37" s="16">
        <f t="shared" si="2"/>
        <v>0</v>
      </c>
      <c r="H37" s="16">
        <f t="shared" si="2"/>
        <v>1</v>
      </c>
      <c r="I37" s="30">
        <f t="shared" si="2"/>
        <v>6.7567567567567563E-3</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2"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3" zoomScale="112" zoomScaleNormal="112" workbookViewId="0">
      <selection activeCell="F31" sqref="F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46245</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6</v>
      </c>
      <c r="F21" s="12"/>
      <c r="G21" s="12"/>
      <c r="H21" s="13">
        <f t="shared" si="0"/>
        <v>6</v>
      </c>
      <c r="I21" s="27"/>
      <c r="J21" s="32"/>
      <c r="K21" s="12">
        <v>1</v>
      </c>
      <c r="L21" s="12"/>
      <c r="M21" s="14"/>
      <c r="O21" s="4"/>
    </row>
    <row r="22" spans="1:15" s="3" customFormat="1" ht="19.5" customHeight="1" x14ac:dyDescent="0.25">
      <c r="A22" s="1"/>
      <c r="B22" s="11" t="s">
        <v>26</v>
      </c>
      <c r="C22" s="12"/>
      <c r="D22" s="12"/>
      <c r="E22" s="12">
        <v>20</v>
      </c>
      <c r="F22" s="12"/>
      <c r="G22" s="12"/>
      <c r="H22" s="13">
        <f t="shared" si="0"/>
        <v>20</v>
      </c>
      <c r="I22" s="27"/>
      <c r="J22" s="32"/>
      <c r="K22" s="12">
        <v>1</v>
      </c>
      <c r="L22" s="12"/>
      <c r="M22" s="14"/>
      <c r="O22" s="4"/>
    </row>
    <row r="23" spans="1:15" s="3" customFormat="1" ht="19.5" customHeight="1" x14ac:dyDescent="0.25">
      <c r="A23" s="1"/>
      <c r="B23" s="11" t="s">
        <v>27</v>
      </c>
      <c r="C23" s="12"/>
      <c r="D23" s="12"/>
      <c r="E23" s="12">
        <v>24</v>
      </c>
      <c r="F23" s="12">
        <v>14</v>
      </c>
      <c r="G23" s="12"/>
      <c r="H23" s="13">
        <f t="shared" si="0"/>
        <v>38</v>
      </c>
      <c r="I23" s="27"/>
      <c r="J23" s="32"/>
      <c r="K23" s="12">
        <v>1</v>
      </c>
      <c r="L23" s="12"/>
      <c r="M23" s="14"/>
      <c r="O23" s="4"/>
    </row>
    <row r="24" spans="1:15" s="3" customFormat="1" ht="19.5" customHeight="1" x14ac:dyDescent="0.25">
      <c r="A24" s="1"/>
      <c r="B24" s="11" t="s">
        <v>28</v>
      </c>
      <c r="C24" s="12"/>
      <c r="D24" s="12"/>
      <c r="E24" s="12">
        <v>32</v>
      </c>
      <c r="F24" s="12">
        <v>4</v>
      </c>
      <c r="G24" s="12">
        <v>1</v>
      </c>
      <c r="H24" s="13">
        <f t="shared" si="0"/>
        <v>37</v>
      </c>
      <c r="I24" s="27"/>
      <c r="J24" s="32"/>
      <c r="K24" s="12">
        <v>1</v>
      </c>
      <c r="L24" s="12"/>
      <c r="M24" s="14"/>
      <c r="O24" s="4"/>
    </row>
    <row r="25" spans="1:15" s="3" customFormat="1" ht="19.5" customHeight="1" x14ac:dyDescent="0.25">
      <c r="A25" s="1"/>
      <c r="B25" s="11" t="s">
        <v>29</v>
      </c>
      <c r="C25" s="12"/>
      <c r="D25" s="12"/>
      <c r="E25" s="12">
        <v>24</v>
      </c>
      <c r="F25" s="12">
        <v>6</v>
      </c>
      <c r="G25" s="12"/>
      <c r="H25" s="13">
        <f t="shared" si="0"/>
        <v>30</v>
      </c>
      <c r="I25" s="27">
        <v>1</v>
      </c>
      <c r="J25" s="32"/>
      <c r="K25" s="12">
        <v>1</v>
      </c>
      <c r="L25" s="12"/>
      <c r="M25" s="14"/>
      <c r="O25" s="4"/>
    </row>
    <row r="26" spans="1:15" s="3" customFormat="1" ht="19.5" customHeight="1" x14ac:dyDescent="0.25">
      <c r="A26" s="1"/>
      <c r="B26" s="11" t="s">
        <v>30</v>
      </c>
      <c r="C26" s="12"/>
      <c r="D26" s="12"/>
      <c r="E26" s="12">
        <v>26</v>
      </c>
      <c r="F26" s="12">
        <v>4</v>
      </c>
      <c r="G26" s="12"/>
      <c r="H26" s="13">
        <f t="shared" si="0"/>
        <v>30</v>
      </c>
      <c r="I26" s="27"/>
      <c r="J26" s="32"/>
      <c r="K26" s="12">
        <v>1</v>
      </c>
      <c r="L26" s="12"/>
      <c r="M26" s="14"/>
      <c r="O26" s="4"/>
    </row>
    <row r="27" spans="1:15" s="3" customFormat="1" ht="19.5" customHeight="1" x14ac:dyDescent="0.25">
      <c r="A27" s="1"/>
      <c r="B27" s="11" t="s">
        <v>31</v>
      </c>
      <c r="C27" s="12"/>
      <c r="D27" s="12"/>
      <c r="E27" s="12">
        <v>29</v>
      </c>
      <c r="F27" s="12">
        <v>10</v>
      </c>
      <c r="G27" s="12"/>
      <c r="H27" s="13">
        <f t="shared" si="0"/>
        <v>39</v>
      </c>
      <c r="I27" s="27"/>
      <c r="J27" s="32">
        <v>1</v>
      </c>
      <c r="K27" s="12">
        <v>1</v>
      </c>
      <c r="L27" s="12"/>
      <c r="M27" s="14"/>
      <c r="O27" s="4"/>
    </row>
    <row r="28" spans="1:15" s="3" customFormat="1" ht="19.5" customHeight="1" x14ac:dyDescent="0.25">
      <c r="A28" s="1"/>
      <c r="B28" s="11" t="s">
        <v>32</v>
      </c>
      <c r="C28" s="12"/>
      <c r="D28" s="12"/>
      <c r="E28" s="12">
        <v>29</v>
      </c>
      <c r="F28" s="12">
        <v>14</v>
      </c>
      <c r="G28" s="12"/>
      <c r="H28" s="13">
        <f t="shared" si="0"/>
        <v>43</v>
      </c>
      <c r="I28" s="27"/>
      <c r="J28" s="32">
        <v>1</v>
      </c>
      <c r="K28" s="12"/>
      <c r="L28" s="12"/>
      <c r="M28" s="14"/>
      <c r="O28" s="4"/>
    </row>
    <row r="29" spans="1:15" s="3" customFormat="1" ht="19.5" customHeight="1" x14ac:dyDescent="0.25">
      <c r="A29" s="1"/>
      <c r="B29" s="11" t="s">
        <v>33</v>
      </c>
      <c r="C29" s="12"/>
      <c r="D29" s="12"/>
      <c r="E29" s="12">
        <v>25</v>
      </c>
      <c r="F29" s="12">
        <v>2</v>
      </c>
      <c r="G29" s="12"/>
      <c r="H29" s="13">
        <f t="shared" si="0"/>
        <v>27</v>
      </c>
      <c r="I29" s="27"/>
      <c r="J29" s="32">
        <v>1</v>
      </c>
      <c r="K29" s="12"/>
      <c r="L29" s="12"/>
      <c r="M29" s="14"/>
      <c r="O29" s="4"/>
    </row>
    <row r="30" spans="1:15" s="3" customFormat="1" ht="19.5" customHeight="1" x14ac:dyDescent="0.25">
      <c r="A30" s="1"/>
      <c r="B30" s="11" t="s">
        <v>34</v>
      </c>
      <c r="C30" s="12"/>
      <c r="D30" s="12"/>
      <c r="E30" s="12">
        <v>35</v>
      </c>
      <c r="F30" s="12">
        <v>4</v>
      </c>
      <c r="G30" s="12"/>
      <c r="H30" s="13">
        <f t="shared" si="0"/>
        <v>39</v>
      </c>
      <c r="I30" s="27"/>
      <c r="J30" s="32">
        <v>1</v>
      </c>
      <c r="K30" s="12"/>
      <c r="L30" s="12"/>
      <c r="M30" s="14"/>
      <c r="O30" s="4"/>
    </row>
    <row r="31" spans="1:15" s="3" customFormat="1" ht="19.5" customHeight="1" x14ac:dyDescent="0.25">
      <c r="A31" s="1"/>
      <c r="B31" s="11" t="s">
        <v>35</v>
      </c>
      <c r="C31" s="12"/>
      <c r="D31" s="12"/>
      <c r="E31" s="12">
        <v>12</v>
      </c>
      <c r="F31" s="12">
        <v>2</v>
      </c>
      <c r="G31" s="12"/>
      <c r="H31" s="13">
        <f t="shared" si="0"/>
        <v>14</v>
      </c>
      <c r="I31" s="27"/>
      <c r="J31" s="32">
        <v>1</v>
      </c>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12</v>
      </c>
    </row>
    <row r="36" spans="1:16" x14ac:dyDescent="0.25">
      <c r="B36" s="64"/>
      <c r="C36" s="22">
        <f t="shared" ref="C36:M36" si="1">SUM(C10:C33)</f>
        <v>0</v>
      </c>
      <c r="D36" s="22">
        <f t="shared" si="1"/>
        <v>0</v>
      </c>
      <c r="E36" s="22">
        <f t="shared" si="1"/>
        <v>262</v>
      </c>
      <c r="F36" s="22">
        <f t="shared" si="1"/>
        <v>60</v>
      </c>
      <c r="G36" s="22">
        <f t="shared" si="1"/>
        <v>1</v>
      </c>
      <c r="H36" s="22">
        <f t="shared" si="1"/>
        <v>323</v>
      </c>
      <c r="I36" s="29">
        <f t="shared" si="1"/>
        <v>1</v>
      </c>
      <c r="J36" s="35">
        <f t="shared" si="1"/>
        <v>5</v>
      </c>
      <c r="K36" s="22">
        <f t="shared" si="1"/>
        <v>7</v>
      </c>
      <c r="L36" s="22">
        <f t="shared" si="1"/>
        <v>0</v>
      </c>
      <c r="M36" s="23">
        <f t="shared" si="1"/>
        <v>0</v>
      </c>
    </row>
    <row r="37" spans="1:16" ht="15.75" thickBot="1" x14ac:dyDescent="0.3">
      <c r="B37" s="65"/>
      <c r="C37" s="16">
        <f>((C36*100)/$H$36)/100</f>
        <v>0</v>
      </c>
      <c r="D37" s="16">
        <f t="shared" ref="D37:I37" si="2">((D36*100)/$H$36)/100</f>
        <v>0</v>
      </c>
      <c r="E37" s="16">
        <f t="shared" si="2"/>
        <v>0.81114551083591335</v>
      </c>
      <c r="F37" s="16">
        <f t="shared" si="2"/>
        <v>0.18575851393188855</v>
      </c>
      <c r="G37" s="16">
        <f t="shared" si="2"/>
        <v>3.0959752321981426E-3</v>
      </c>
      <c r="H37" s="16">
        <f t="shared" si="2"/>
        <v>1</v>
      </c>
      <c r="I37" s="30">
        <f t="shared" si="2"/>
        <v>3.0959752321981426E-3</v>
      </c>
      <c r="J37" s="36">
        <f>((J36*100)/$P$35)/100</f>
        <v>0.41666666666666663</v>
      </c>
      <c r="K37" s="17">
        <f>((K36*100)/$P$35)/100</f>
        <v>0.58333333333333337</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1"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0" zoomScaleNormal="100" workbookViewId="0">
      <selection activeCell="K31" sqref="K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46246</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4</v>
      </c>
      <c r="F21" s="12"/>
      <c r="G21" s="12"/>
      <c r="H21" s="13">
        <f t="shared" si="0"/>
        <v>4</v>
      </c>
      <c r="I21" s="27"/>
      <c r="J21" s="32"/>
      <c r="K21" s="12">
        <v>1</v>
      </c>
      <c r="L21" s="12"/>
      <c r="M21" s="14"/>
      <c r="O21" s="4"/>
    </row>
    <row r="22" spans="1:15" s="3" customFormat="1" ht="19.5" customHeight="1" x14ac:dyDescent="0.25">
      <c r="A22" s="1"/>
      <c r="B22" s="11" t="s">
        <v>26</v>
      </c>
      <c r="C22" s="12"/>
      <c r="D22" s="12"/>
      <c r="E22" s="12">
        <v>12</v>
      </c>
      <c r="F22" s="12">
        <v>18</v>
      </c>
      <c r="G22" s="12">
        <v>1</v>
      </c>
      <c r="H22" s="13">
        <f t="shared" si="0"/>
        <v>31</v>
      </c>
      <c r="I22" s="27"/>
      <c r="J22" s="32"/>
      <c r="K22" s="12">
        <v>1</v>
      </c>
      <c r="L22" s="12"/>
      <c r="M22" s="14"/>
      <c r="O22" s="4"/>
    </row>
    <row r="23" spans="1:15" s="3" customFormat="1" ht="19.5" customHeight="1" x14ac:dyDescent="0.25">
      <c r="A23" s="1"/>
      <c r="B23" s="11" t="s">
        <v>27</v>
      </c>
      <c r="C23" s="12"/>
      <c r="D23" s="12"/>
      <c r="E23" s="12">
        <v>15</v>
      </c>
      <c r="F23" s="12"/>
      <c r="G23" s="12"/>
      <c r="H23" s="13">
        <f t="shared" si="0"/>
        <v>15</v>
      </c>
      <c r="I23" s="27"/>
      <c r="J23" s="32"/>
      <c r="K23" s="12">
        <v>1</v>
      </c>
      <c r="L23" s="12"/>
      <c r="M23" s="14"/>
      <c r="O23" s="4"/>
    </row>
    <row r="24" spans="1:15" s="3" customFormat="1" ht="19.5" customHeight="1" x14ac:dyDescent="0.25">
      <c r="A24" s="1"/>
      <c r="B24" s="11" t="s">
        <v>28</v>
      </c>
      <c r="C24" s="12"/>
      <c r="D24" s="12"/>
      <c r="E24" s="12">
        <v>18</v>
      </c>
      <c r="F24" s="12">
        <v>18</v>
      </c>
      <c r="G24" s="12">
        <v>1</v>
      </c>
      <c r="H24" s="13">
        <f t="shared" si="0"/>
        <v>37</v>
      </c>
      <c r="I24" s="27"/>
      <c r="J24" s="32"/>
      <c r="K24" s="12">
        <v>1</v>
      </c>
      <c r="L24" s="12"/>
      <c r="M24" s="14"/>
      <c r="O24" s="4"/>
    </row>
    <row r="25" spans="1:15" s="3" customFormat="1" ht="19.5" customHeight="1" x14ac:dyDescent="0.25">
      <c r="A25" s="1"/>
      <c r="B25" s="11" t="s">
        <v>29</v>
      </c>
      <c r="C25" s="12"/>
      <c r="D25" s="12"/>
      <c r="E25" s="12">
        <v>21</v>
      </c>
      <c r="F25" s="12">
        <v>2</v>
      </c>
      <c r="G25" s="12"/>
      <c r="H25" s="13">
        <f t="shared" si="0"/>
        <v>23</v>
      </c>
      <c r="I25" s="27"/>
      <c r="J25" s="32"/>
      <c r="K25" s="12">
        <v>1</v>
      </c>
      <c r="L25" s="12"/>
      <c r="M25" s="14"/>
      <c r="O25" s="4"/>
    </row>
    <row r="26" spans="1:15" s="3" customFormat="1" ht="19.5" customHeight="1" x14ac:dyDescent="0.25">
      <c r="A26" s="1"/>
      <c r="B26" s="11" t="s">
        <v>30</v>
      </c>
      <c r="C26" s="12"/>
      <c r="D26" s="12"/>
      <c r="E26" s="12">
        <v>19</v>
      </c>
      <c r="F26" s="12">
        <v>16</v>
      </c>
      <c r="G26" s="12"/>
      <c r="H26" s="13">
        <f t="shared" si="0"/>
        <v>35</v>
      </c>
      <c r="I26" s="27"/>
      <c r="J26" s="32"/>
      <c r="K26" s="12">
        <v>1</v>
      </c>
      <c r="L26" s="12"/>
      <c r="M26" s="14"/>
      <c r="O26" s="4"/>
    </row>
    <row r="27" spans="1:15" s="3" customFormat="1" ht="19.5" customHeight="1" x14ac:dyDescent="0.25">
      <c r="A27" s="1"/>
      <c r="B27" s="11" t="s">
        <v>31</v>
      </c>
      <c r="C27" s="12"/>
      <c r="D27" s="12"/>
      <c r="E27" s="12">
        <v>18</v>
      </c>
      <c r="F27" s="12">
        <v>28</v>
      </c>
      <c r="G27" s="12"/>
      <c r="H27" s="13">
        <f t="shared" si="0"/>
        <v>46</v>
      </c>
      <c r="I27" s="27"/>
      <c r="J27" s="32"/>
      <c r="K27" s="12">
        <v>1</v>
      </c>
      <c r="L27" s="12"/>
      <c r="M27" s="14"/>
      <c r="O27" s="4"/>
    </row>
    <row r="28" spans="1:15" s="3" customFormat="1" ht="19.5" customHeight="1" x14ac:dyDescent="0.25">
      <c r="A28" s="1"/>
      <c r="B28" s="11" t="s">
        <v>32</v>
      </c>
      <c r="C28" s="12"/>
      <c r="D28" s="12"/>
      <c r="E28" s="12">
        <v>18</v>
      </c>
      <c r="F28" s="12">
        <v>14</v>
      </c>
      <c r="G28" s="12"/>
      <c r="H28" s="13">
        <f t="shared" si="0"/>
        <v>32</v>
      </c>
      <c r="I28" s="27"/>
      <c r="J28" s="32"/>
      <c r="K28" s="12">
        <v>1</v>
      </c>
      <c r="L28" s="12"/>
      <c r="M28" s="14"/>
      <c r="O28" s="4"/>
    </row>
    <row r="29" spans="1:15" s="3" customFormat="1" ht="19.5" customHeight="1" x14ac:dyDescent="0.25">
      <c r="A29" s="1"/>
      <c r="B29" s="11" t="s">
        <v>33</v>
      </c>
      <c r="C29" s="12"/>
      <c r="D29" s="12"/>
      <c r="E29" s="12">
        <v>25</v>
      </c>
      <c r="F29" s="12">
        <v>26</v>
      </c>
      <c r="G29" s="12"/>
      <c r="H29" s="13">
        <f t="shared" si="0"/>
        <v>51</v>
      </c>
      <c r="I29" s="27"/>
      <c r="J29" s="32"/>
      <c r="K29" s="12">
        <v>1</v>
      </c>
      <c r="L29" s="12"/>
      <c r="M29" s="14"/>
      <c r="O29" s="4"/>
    </row>
    <row r="30" spans="1:15" s="3" customFormat="1" ht="19.5" customHeight="1" x14ac:dyDescent="0.25">
      <c r="A30" s="1"/>
      <c r="B30" s="11" t="s">
        <v>34</v>
      </c>
      <c r="C30" s="12"/>
      <c r="D30" s="12"/>
      <c r="E30" s="12">
        <v>13</v>
      </c>
      <c r="F30" s="12">
        <v>18</v>
      </c>
      <c r="G30" s="12"/>
      <c r="H30" s="13">
        <f t="shared" si="0"/>
        <v>31</v>
      </c>
      <c r="I30" s="27"/>
      <c r="J30" s="32"/>
      <c r="K30" s="12">
        <v>1</v>
      </c>
      <c r="L30" s="12"/>
      <c r="M30" s="14"/>
      <c r="O30" s="4"/>
    </row>
    <row r="31" spans="1:15" s="3" customFormat="1" ht="19.5" customHeight="1" x14ac:dyDescent="0.25">
      <c r="A31" s="1"/>
      <c r="B31" s="11" t="s">
        <v>35</v>
      </c>
      <c r="C31" s="12"/>
      <c r="D31" s="12"/>
      <c r="E31" s="12">
        <v>7</v>
      </c>
      <c r="F31" s="12">
        <v>16</v>
      </c>
      <c r="G31" s="12"/>
      <c r="H31" s="13">
        <f t="shared" si="0"/>
        <v>23</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11</v>
      </c>
    </row>
    <row r="36" spans="1:16" x14ac:dyDescent="0.25">
      <c r="B36" s="64"/>
      <c r="C36" s="22">
        <f t="shared" ref="C36:M36" si="1">SUM(C10:C33)</f>
        <v>0</v>
      </c>
      <c r="D36" s="22">
        <f t="shared" si="1"/>
        <v>0</v>
      </c>
      <c r="E36" s="22">
        <f t="shared" si="1"/>
        <v>170</v>
      </c>
      <c r="F36" s="22">
        <f t="shared" si="1"/>
        <v>156</v>
      </c>
      <c r="G36" s="22">
        <f t="shared" si="1"/>
        <v>2</v>
      </c>
      <c r="H36" s="22">
        <f t="shared" si="1"/>
        <v>328</v>
      </c>
      <c r="I36" s="29">
        <f t="shared" si="1"/>
        <v>0</v>
      </c>
      <c r="J36" s="35">
        <f t="shared" si="1"/>
        <v>0</v>
      </c>
      <c r="K36" s="22">
        <f t="shared" si="1"/>
        <v>11</v>
      </c>
      <c r="L36" s="22">
        <f t="shared" si="1"/>
        <v>0</v>
      </c>
      <c r="M36" s="23">
        <f t="shared" si="1"/>
        <v>0</v>
      </c>
    </row>
    <row r="37" spans="1:16" ht="15.75" thickBot="1" x14ac:dyDescent="0.3">
      <c r="B37" s="65"/>
      <c r="C37" s="16">
        <f>((C36*100)/$H$36)/100</f>
        <v>0</v>
      </c>
      <c r="D37" s="16">
        <f t="shared" ref="D37:I37" si="2">((D36*100)/$H$36)/100</f>
        <v>0</v>
      </c>
      <c r="E37" s="16">
        <f t="shared" si="2"/>
        <v>0.51829268292682928</v>
      </c>
      <c r="F37" s="16">
        <f t="shared" si="2"/>
        <v>0.47560975609756101</v>
      </c>
      <c r="G37" s="16">
        <f t="shared" si="2"/>
        <v>6.0975609756097563E-3</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0"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3" zoomScale="112" zoomScaleNormal="112" workbookViewId="0">
      <selection activeCell="K31" sqref="K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46247</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4</v>
      </c>
      <c r="F21" s="12"/>
      <c r="G21" s="12"/>
      <c r="H21" s="13">
        <f t="shared" si="0"/>
        <v>4</v>
      </c>
      <c r="I21" s="27"/>
      <c r="J21" s="32"/>
      <c r="K21" s="12">
        <v>1</v>
      </c>
      <c r="L21" s="12"/>
      <c r="M21" s="14"/>
      <c r="O21" s="4"/>
    </row>
    <row r="22" spans="1:15" s="3" customFormat="1" ht="19.5" customHeight="1" x14ac:dyDescent="0.25">
      <c r="A22" s="1"/>
      <c r="B22" s="11" t="s">
        <v>26</v>
      </c>
      <c r="C22" s="12"/>
      <c r="D22" s="12"/>
      <c r="E22" s="12">
        <v>8</v>
      </c>
      <c r="F22" s="12">
        <v>4</v>
      </c>
      <c r="G22" s="12"/>
      <c r="H22" s="13">
        <f t="shared" si="0"/>
        <v>12</v>
      </c>
      <c r="I22" s="27"/>
      <c r="J22" s="32"/>
      <c r="K22" s="12">
        <v>1</v>
      </c>
      <c r="L22" s="12"/>
      <c r="M22" s="14"/>
      <c r="O22" s="4"/>
    </row>
    <row r="23" spans="1:15" s="3" customFormat="1" ht="19.5" customHeight="1" x14ac:dyDescent="0.25">
      <c r="A23" s="1"/>
      <c r="B23" s="11" t="s">
        <v>27</v>
      </c>
      <c r="C23" s="12"/>
      <c r="D23" s="12"/>
      <c r="E23" s="12">
        <v>12</v>
      </c>
      <c r="F23" s="12">
        <v>1</v>
      </c>
      <c r="G23" s="12"/>
      <c r="H23" s="13">
        <f t="shared" si="0"/>
        <v>13</v>
      </c>
      <c r="I23" s="27"/>
      <c r="J23" s="32"/>
      <c r="K23" s="12">
        <v>1</v>
      </c>
      <c r="L23" s="12"/>
      <c r="M23" s="14"/>
      <c r="O23" s="4"/>
    </row>
    <row r="24" spans="1:15" s="3" customFormat="1" ht="19.5" customHeight="1" x14ac:dyDescent="0.25">
      <c r="A24" s="1"/>
      <c r="B24" s="11" t="s">
        <v>28</v>
      </c>
      <c r="C24" s="12"/>
      <c r="D24" s="12"/>
      <c r="E24" s="12">
        <v>15</v>
      </c>
      <c r="F24" s="12"/>
      <c r="G24" s="12"/>
      <c r="H24" s="13">
        <f t="shared" si="0"/>
        <v>15</v>
      </c>
      <c r="I24" s="27"/>
      <c r="J24" s="32"/>
      <c r="K24" s="12">
        <v>1</v>
      </c>
      <c r="L24" s="12"/>
      <c r="M24" s="14"/>
      <c r="O24" s="4"/>
    </row>
    <row r="25" spans="1:15" s="3" customFormat="1" ht="19.5" customHeight="1" x14ac:dyDescent="0.25">
      <c r="A25" s="1"/>
      <c r="B25" s="11" t="s">
        <v>29</v>
      </c>
      <c r="C25" s="12"/>
      <c r="D25" s="12"/>
      <c r="E25" s="12">
        <v>21</v>
      </c>
      <c r="F25" s="12">
        <v>28</v>
      </c>
      <c r="G25" s="12"/>
      <c r="H25" s="13">
        <f t="shared" si="0"/>
        <v>49</v>
      </c>
      <c r="I25" s="27"/>
      <c r="J25" s="32"/>
      <c r="K25" s="12">
        <v>1</v>
      </c>
      <c r="L25" s="12"/>
      <c r="M25" s="14"/>
      <c r="O25" s="4"/>
    </row>
    <row r="26" spans="1:15" s="3" customFormat="1" ht="19.5" customHeight="1" x14ac:dyDescent="0.25">
      <c r="A26" s="1"/>
      <c r="B26" s="11" t="s">
        <v>30</v>
      </c>
      <c r="C26" s="12"/>
      <c r="D26" s="12"/>
      <c r="E26" s="12">
        <v>17</v>
      </c>
      <c r="F26" s="12">
        <v>2</v>
      </c>
      <c r="G26" s="12"/>
      <c r="H26" s="13">
        <f t="shared" si="0"/>
        <v>19</v>
      </c>
      <c r="I26" s="27"/>
      <c r="J26" s="32"/>
      <c r="K26" s="12">
        <v>1</v>
      </c>
      <c r="L26" s="12"/>
      <c r="M26" s="14"/>
      <c r="O26" s="4"/>
    </row>
    <row r="27" spans="1:15" s="3" customFormat="1" ht="19.5" customHeight="1" x14ac:dyDescent="0.25">
      <c r="A27" s="1"/>
      <c r="B27" s="11" t="s">
        <v>31</v>
      </c>
      <c r="C27" s="12"/>
      <c r="D27" s="12"/>
      <c r="E27" s="12">
        <v>22</v>
      </c>
      <c r="F27" s="12">
        <v>4</v>
      </c>
      <c r="G27" s="12"/>
      <c r="H27" s="13">
        <f t="shared" si="0"/>
        <v>26</v>
      </c>
      <c r="I27" s="27"/>
      <c r="J27" s="32"/>
      <c r="K27" s="12">
        <v>1</v>
      </c>
      <c r="L27" s="12"/>
      <c r="M27" s="14"/>
      <c r="O27" s="4"/>
    </row>
    <row r="28" spans="1:15" s="3" customFormat="1" ht="19.5" customHeight="1" x14ac:dyDescent="0.25">
      <c r="A28" s="1"/>
      <c r="B28" s="11" t="s">
        <v>32</v>
      </c>
      <c r="C28" s="12"/>
      <c r="D28" s="12"/>
      <c r="E28" s="12">
        <v>20</v>
      </c>
      <c r="F28" s="12">
        <v>4</v>
      </c>
      <c r="G28" s="12"/>
      <c r="H28" s="13">
        <f t="shared" si="0"/>
        <v>24</v>
      </c>
      <c r="I28" s="27"/>
      <c r="J28" s="32"/>
      <c r="K28" s="12">
        <v>1</v>
      </c>
      <c r="L28" s="12"/>
      <c r="M28" s="14"/>
      <c r="O28" s="4"/>
    </row>
    <row r="29" spans="1:15" s="3" customFormat="1" ht="19.5" customHeight="1" x14ac:dyDescent="0.25">
      <c r="A29" s="1"/>
      <c r="B29" s="11" t="s">
        <v>33</v>
      </c>
      <c r="C29" s="12"/>
      <c r="D29" s="12"/>
      <c r="E29" s="12">
        <v>24</v>
      </c>
      <c r="F29" s="12"/>
      <c r="G29" s="12"/>
      <c r="H29" s="13">
        <f t="shared" si="0"/>
        <v>24</v>
      </c>
      <c r="I29" s="27"/>
      <c r="J29" s="32"/>
      <c r="K29" s="12">
        <v>1</v>
      </c>
      <c r="L29" s="12"/>
      <c r="M29" s="14"/>
      <c r="O29" s="4"/>
    </row>
    <row r="30" spans="1:15" s="3" customFormat="1" ht="19.5" customHeight="1" x14ac:dyDescent="0.25">
      <c r="A30" s="1"/>
      <c r="B30" s="11" t="s">
        <v>34</v>
      </c>
      <c r="C30" s="12"/>
      <c r="D30" s="12"/>
      <c r="E30" s="12">
        <v>17</v>
      </c>
      <c r="F30" s="12">
        <v>2</v>
      </c>
      <c r="G30" s="12"/>
      <c r="H30" s="13">
        <f t="shared" si="0"/>
        <v>19</v>
      </c>
      <c r="I30" s="27"/>
      <c r="J30" s="32"/>
      <c r="K30" s="12">
        <v>1</v>
      </c>
      <c r="L30" s="12"/>
      <c r="M30" s="14"/>
      <c r="O30" s="4"/>
    </row>
    <row r="31" spans="1:15" s="3" customFormat="1" ht="19.5" customHeight="1" x14ac:dyDescent="0.25">
      <c r="A31" s="1"/>
      <c r="B31" s="11" t="s">
        <v>35</v>
      </c>
      <c r="C31" s="12"/>
      <c r="D31" s="12"/>
      <c r="E31" s="12">
        <v>2</v>
      </c>
      <c r="F31" s="12">
        <v>2</v>
      </c>
      <c r="G31" s="12"/>
      <c r="H31" s="13">
        <f t="shared" si="0"/>
        <v>4</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11</v>
      </c>
    </row>
    <row r="36" spans="1:16" x14ac:dyDescent="0.25">
      <c r="B36" s="64"/>
      <c r="C36" s="22">
        <f t="shared" ref="C36:M36" si="1">SUM(C10:C33)</f>
        <v>0</v>
      </c>
      <c r="D36" s="22">
        <f t="shared" si="1"/>
        <v>0</v>
      </c>
      <c r="E36" s="22">
        <f t="shared" si="1"/>
        <v>162</v>
      </c>
      <c r="F36" s="22">
        <f t="shared" si="1"/>
        <v>47</v>
      </c>
      <c r="G36" s="22">
        <f t="shared" si="1"/>
        <v>0</v>
      </c>
      <c r="H36" s="22">
        <f t="shared" si="1"/>
        <v>209</v>
      </c>
      <c r="I36" s="29">
        <f t="shared" si="1"/>
        <v>0</v>
      </c>
      <c r="J36" s="35">
        <f t="shared" si="1"/>
        <v>0</v>
      </c>
      <c r="K36" s="22">
        <f t="shared" si="1"/>
        <v>11</v>
      </c>
      <c r="L36" s="22">
        <f t="shared" si="1"/>
        <v>0</v>
      </c>
      <c r="M36" s="23">
        <f t="shared" si="1"/>
        <v>0</v>
      </c>
    </row>
    <row r="37" spans="1:16" ht="15.75" thickBot="1" x14ac:dyDescent="0.3">
      <c r="B37" s="65"/>
      <c r="C37" s="16">
        <f>((C36*100)/$H$36)/100</f>
        <v>0</v>
      </c>
      <c r="D37" s="16">
        <f t="shared" ref="D37:I37" si="2">((D36*100)/$H$36)/100</f>
        <v>0</v>
      </c>
      <c r="E37" s="16">
        <f t="shared" si="2"/>
        <v>0.77511961722488043</v>
      </c>
      <c r="F37" s="16">
        <f t="shared" si="2"/>
        <v>0.22488038277511962</v>
      </c>
      <c r="G37" s="16">
        <f t="shared" si="2"/>
        <v>0</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9"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0" zoomScale="112" zoomScaleNormal="112" workbookViewId="0">
      <selection activeCell="E32" sqref="E32"/>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46248</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50</v>
      </c>
      <c r="F21" s="12"/>
      <c r="G21" s="12"/>
      <c r="H21" s="13">
        <f t="shared" si="0"/>
        <v>0</v>
      </c>
      <c r="I21" s="27"/>
      <c r="J21" s="32"/>
      <c r="K21" s="12"/>
      <c r="L21" s="12"/>
      <c r="M21" s="14"/>
      <c r="O21" s="4"/>
    </row>
    <row r="22" spans="1:15" s="3" customFormat="1" ht="19.5" customHeight="1" x14ac:dyDescent="0.25">
      <c r="A22" s="1"/>
      <c r="B22" s="11" t="s">
        <v>26</v>
      </c>
      <c r="C22" s="12"/>
      <c r="D22" s="12"/>
      <c r="E22" s="12" t="s">
        <v>50</v>
      </c>
      <c r="F22" s="12"/>
      <c r="G22" s="12"/>
      <c r="H22" s="13">
        <f t="shared" si="0"/>
        <v>0</v>
      </c>
      <c r="I22" s="27"/>
      <c r="J22" s="32"/>
      <c r="K22" s="12"/>
      <c r="L22" s="12"/>
      <c r="M22" s="14"/>
      <c r="O22" s="4"/>
    </row>
    <row r="23" spans="1:15" s="3" customFormat="1" ht="19.5" customHeight="1" x14ac:dyDescent="0.25">
      <c r="A23" s="1"/>
      <c r="B23" s="11" t="s">
        <v>27</v>
      </c>
      <c r="C23" s="12"/>
      <c r="D23" s="12"/>
      <c r="E23" s="12" t="s">
        <v>50</v>
      </c>
      <c r="F23" s="12"/>
      <c r="G23" s="12"/>
      <c r="H23" s="13">
        <f t="shared" si="0"/>
        <v>0</v>
      </c>
      <c r="I23" s="27"/>
      <c r="J23" s="32"/>
      <c r="K23" s="12"/>
      <c r="L23" s="12"/>
      <c r="M23" s="14"/>
      <c r="O23" s="4"/>
    </row>
    <row r="24" spans="1:15" s="3" customFormat="1" ht="19.5" customHeight="1" x14ac:dyDescent="0.25">
      <c r="A24" s="1"/>
      <c r="B24" s="11" t="s">
        <v>28</v>
      </c>
      <c r="C24" s="12"/>
      <c r="D24" s="12"/>
      <c r="E24" s="12" t="s">
        <v>50</v>
      </c>
      <c r="F24" s="12"/>
      <c r="G24" s="12"/>
      <c r="H24" s="13">
        <f>SUM(C24:G24)</f>
        <v>0</v>
      </c>
      <c r="I24" s="27"/>
      <c r="J24" s="32"/>
      <c r="K24" s="12"/>
      <c r="L24" s="12"/>
      <c r="M24" s="14"/>
      <c r="O24" s="4"/>
    </row>
    <row r="25" spans="1:15" s="3" customFormat="1" ht="19.5" customHeight="1" x14ac:dyDescent="0.25">
      <c r="A25" s="1"/>
      <c r="B25" s="11" t="s">
        <v>29</v>
      </c>
      <c r="C25" s="12"/>
      <c r="D25" s="12"/>
      <c r="E25" s="12" t="s">
        <v>50</v>
      </c>
      <c r="F25" s="12"/>
      <c r="G25" s="12"/>
      <c r="H25" s="13">
        <f t="shared" si="0"/>
        <v>0</v>
      </c>
      <c r="I25" s="27"/>
      <c r="J25" s="32"/>
      <c r="K25" s="12"/>
      <c r="L25" s="12"/>
      <c r="M25" s="14"/>
      <c r="O25" s="4"/>
    </row>
    <row r="26" spans="1:15" s="3" customFormat="1" ht="19.5" customHeight="1" x14ac:dyDescent="0.25">
      <c r="A26" s="1"/>
      <c r="B26" s="11" t="s">
        <v>30</v>
      </c>
      <c r="C26" s="12"/>
      <c r="D26" s="12"/>
      <c r="E26" s="12" t="s">
        <v>50</v>
      </c>
      <c r="F26" s="12"/>
      <c r="G26" s="12"/>
      <c r="H26" s="13">
        <f t="shared" si="0"/>
        <v>0</v>
      </c>
      <c r="I26" s="27"/>
      <c r="J26" s="32"/>
      <c r="K26" s="12"/>
      <c r="L26" s="12"/>
      <c r="M26" s="14"/>
      <c r="O26" s="4"/>
    </row>
    <row r="27" spans="1:15" s="3" customFormat="1" ht="19.5" customHeight="1" x14ac:dyDescent="0.25">
      <c r="A27" s="1"/>
      <c r="B27" s="11" t="s">
        <v>31</v>
      </c>
      <c r="C27" s="12"/>
      <c r="D27" s="12"/>
      <c r="E27" s="12" t="s">
        <v>50</v>
      </c>
      <c r="F27" s="12"/>
      <c r="G27" s="12"/>
      <c r="H27" s="13">
        <f t="shared" si="0"/>
        <v>0</v>
      </c>
      <c r="I27" s="27"/>
      <c r="J27" s="32"/>
      <c r="K27" s="12"/>
      <c r="L27" s="12"/>
      <c r="M27" s="14"/>
      <c r="O27" s="4"/>
    </row>
    <row r="28" spans="1:15" s="3" customFormat="1" ht="19.5" customHeight="1" x14ac:dyDescent="0.25">
      <c r="A28" s="1"/>
      <c r="B28" s="11" t="s">
        <v>32</v>
      </c>
      <c r="C28" s="12"/>
      <c r="D28" s="12"/>
      <c r="E28" s="12" t="s">
        <v>50</v>
      </c>
      <c r="F28" s="12"/>
      <c r="G28" s="12"/>
      <c r="H28" s="13">
        <f t="shared" si="0"/>
        <v>0</v>
      </c>
      <c r="I28" s="27"/>
      <c r="J28" s="32"/>
      <c r="K28" s="12"/>
      <c r="L28" s="12"/>
      <c r="M28" s="14"/>
      <c r="O28" s="4"/>
    </row>
    <row r="29" spans="1:15" s="3" customFormat="1" ht="19.5" customHeight="1" x14ac:dyDescent="0.25">
      <c r="A29" s="1"/>
      <c r="B29" s="11" t="s">
        <v>33</v>
      </c>
      <c r="C29" s="12"/>
      <c r="D29" s="12"/>
      <c r="E29" s="12" t="s">
        <v>50</v>
      </c>
      <c r="F29" s="12"/>
      <c r="G29" s="12"/>
      <c r="H29" s="13">
        <f t="shared" si="0"/>
        <v>0</v>
      </c>
      <c r="I29" s="27"/>
      <c r="J29" s="32"/>
      <c r="K29" s="12"/>
      <c r="L29" s="12"/>
      <c r="M29" s="14"/>
      <c r="O29" s="4"/>
    </row>
    <row r="30" spans="1:15" s="3" customFormat="1" ht="19.5" customHeight="1" x14ac:dyDescent="0.25">
      <c r="A30" s="1"/>
      <c r="B30" s="11" t="s">
        <v>34</v>
      </c>
      <c r="C30" s="12"/>
      <c r="D30" s="12"/>
      <c r="E30" s="12" t="s">
        <v>50</v>
      </c>
      <c r="F30" s="12"/>
      <c r="G30" s="12"/>
      <c r="H30" s="13">
        <f t="shared" si="0"/>
        <v>0</v>
      </c>
      <c r="I30" s="27"/>
      <c r="J30" s="32"/>
      <c r="K30" s="12"/>
      <c r="L30" s="12"/>
      <c r="M30" s="14"/>
      <c r="O30" s="4"/>
    </row>
    <row r="31" spans="1:15" s="3" customFormat="1" ht="19.5" customHeight="1" x14ac:dyDescent="0.25">
      <c r="A31" s="1"/>
      <c r="B31" s="11" t="s">
        <v>35</v>
      </c>
      <c r="C31" s="12"/>
      <c r="D31" s="12"/>
      <c r="E31" s="12" t="s">
        <v>50</v>
      </c>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8"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4" zoomScale="98" zoomScaleNormal="98" workbookViewId="0">
      <selection activeCell="E31" sqref="E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46249</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1</v>
      </c>
      <c r="F21" s="12"/>
      <c r="G21" s="12"/>
      <c r="H21" s="13">
        <f t="shared" si="0"/>
        <v>1</v>
      </c>
      <c r="I21" s="27"/>
      <c r="J21" s="32">
        <v>1</v>
      </c>
      <c r="K21" s="12"/>
      <c r="L21" s="12"/>
      <c r="M21" s="14"/>
      <c r="O21" s="4"/>
    </row>
    <row r="22" spans="1:15" s="3" customFormat="1" ht="19.5" customHeight="1" x14ac:dyDescent="0.25">
      <c r="A22" s="1"/>
      <c r="B22" s="11" t="s">
        <v>26</v>
      </c>
      <c r="C22" s="12"/>
      <c r="D22" s="12"/>
      <c r="E22" s="12" t="s">
        <v>48</v>
      </c>
      <c r="F22" s="12"/>
      <c r="G22" s="12"/>
      <c r="H22" s="13">
        <f t="shared" si="0"/>
        <v>0</v>
      </c>
      <c r="I22" s="27"/>
      <c r="J22" s="32"/>
      <c r="K22" s="12"/>
      <c r="L22" s="12"/>
      <c r="M22" s="14"/>
      <c r="O22" s="4"/>
    </row>
    <row r="23" spans="1:15" s="3" customFormat="1" ht="19.5" customHeight="1" x14ac:dyDescent="0.25">
      <c r="A23" s="1"/>
      <c r="B23" s="11" t="s">
        <v>27</v>
      </c>
      <c r="C23" s="12"/>
      <c r="D23" s="12"/>
      <c r="E23" s="12" t="s">
        <v>48</v>
      </c>
      <c r="F23" s="12"/>
      <c r="G23" s="12"/>
      <c r="H23" s="13">
        <f t="shared" si="0"/>
        <v>0</v>
      </c>
      <c r="I23" s="27"/>
      <c r="J23" s="32"/>
      <c r="K23" s="12"/>
      <c r="L23" s="12"/>
      <c r="M23" s="14"/>
      <c r="O23" s="4"/>
    </row>
    <row r="24" spans="1:15" s="3" customFormat="1" ht="19.5" customHeight="1" x14ac:dyDescent="0.25">
      <c r="A24" s="1"/>
      <c r="B24" s="11" t="s">
        <v>28</v>
      </c>
      <c r="C24" s="12"/>
      <c r="D24" s="12"/>
      <c r="E24" s="12" t="s">
        <v>48</v>
      </c>
      <c r="F24" s="12"/>
      <c r="G24" s="12"/>
      <c r="H24" s="13">
        <f t="shared" si="0"/>
        <v>0</v>
      </c>
      <c r="I24" s="27"/>
      <c r="J24" s="32"/>
      <c r="K24" s="12"/>
      <c r="L24" s="12"/>
      <c r="M24" s="14"/>
      <c r="O24" s="4"/>
    </row>
    <row r="25" spans="1:15" s="3" customFormat="1" ht="19.5" customHeight="1" x14ac:dyDescent="0.25">
      <c r="A25" s="1"/>
      <c r="B25" s="11" t="s">
        <v>29</v>
      </c>
      <c r="C25" s="12"/>
      <c r="D25" s="12"/>
      <c r="E25" s="12" t="s">
        <v>48</v>
      </c>
      <c r="F25" s="12"/>
      <c r="G25" s="12"/>
      <c r="H25" s="13">
        <f t="shared" si="0"/>
        <v>0</v>
      </c>
      <c r="I25" s="27"/>
      <c r="J25" s="32"/>
      <c r="K25" s="12"/>
      <c r="L25" s="12"/>
      <c r="M25" s="14"/>
      <c r="O25" s="4"/>
    </row>
    <row r="26" spans="1:15" s="3" customFormat="1" ht="19.5" customHeight="1" x14ac:dyDescent="0.25">
      <c r="A26" s="1"/>
      <c r="B26" s="11" t="s">
        <v>30</v>
      </c>
      <c r="C26" s="12"/>
      <c r="D26" s="12"/>
      <c r="E26" s="12">
        <v>3</v>
      </c>
      <c r="F26" s="12"/>
      <c r="G26" s="12"/>
      <c r="H26" s="13">
        <f t="shared" si="0"/>
        <v>3</v>
      </c>
      <c r="I26" s="27"/>
      <c r="J26" s="32">
        <v>1</v>
      </c>
      <c r="K26" s="12"/>
      <c r="L26" s="12"/>
      <c r="M26" s="14"/>
      <c r="O26" s="4"/>
    </row>
    <row r="27" spans="1:15" s="3" customFormat="1" ht="19.5" customHeight="1" x14ac:dyDescent="0.25">
      <c r="A27" s="1"/>
      <c r="B27" s="11" t="s">
        <v>31</v>
      </c>
      <c r="C27" s="12"/>
      <c r="D27" s="12"/>
      <c r="E27" s="12">
        <v>1</v>
      </c>
      <c r="F27" s="12"/>
      <c r="G27" s="12"/>
      <c r="H27" s="13">
        <f t="shared" si="0"/>
        <v>1</v>
      </c>
      <c r="I27" s="27"/>
      <c r="J27" s="32">
        <v>1</v>
      </c>
      <c r="K27" s="12"/>
      <c r="L27" s="12"/>
      <c r="M27" s="14"/>
      <c r="O27" s="4"/>
    </row>
    <row r="28" spans="1:15" s="3" customFormat="1" ht="19.5" customHeight="1" x14ac:dyDescent="0.25">
      <c r="A28" s="1"/>
      <c r="B28" s="11" t="s">
        <v>32</v>
      </c>
      <c r="C28" s="12"/>
      <c r="D28" s="12"/>
      <c r="E28" s="12" t="s">
        <v>48</v>
      </c>
      <c r="F28" s="12"/>
      <c r="G28" s="12"/>
      <c r="H28" s="13">
        <f t="shared" si="0"/>
        <v>0</v>
      </c>
      <c r="I28" s="27"/>
      <c r="J28" s="32"/>
      <c r="K28" s="12"/>
      <c r="L28" s="12"/>
      <c r="M28" s="14"/>
      <c r="O28" s="4"/>
    </row>
    <row r="29" spans="1:15" s="3" customFormat="1" ht="19.5" customHeight="1" x14ac:dyDescent="0.25">
      <c r="A29" s="1"/>
      <c r="B29" s="11" t="s">
        <v>33</v>
      </c>
      <c r="C29" s="12"/>
      <c r="D29" s="12"/>
      <c r="E29" s="12" t="s">
        <v>48</v>
      </c>
      <c r="F29" s="12"/>
      <c r="G29" s="12"/>
      <c r="H29" s="13">
        <f t="shared" si="0"/>
        <v>0</v>
      </c>
      <c r="I29" s="27"/>
      <c r="J29" s="32"/>
      <c r="K29" s="12"/>
      <c r="L29" s="12"/>
      <c r="M29" s="14"/>
      <c r="O29" s="4"/>
    </row>
    <row r="30" spans="1:15" s="3" customFormat="1" ht="19.5" customHeight="1" x14ac:dyDescent="0.25">
      <c r="A30" s="1"/>
      <c r="B30" s="11" t="s">
        <v>34</v>
      </c>
      <c r="C30" s="12"/>
      <c r="D30" s="12"/>
      <c r="E30" s="12" t="s">
        <v>48</v>
      </c>
      <c r="F30" s="12"/>
      <c r="G30" s="12"/>
      <c r="H30" s="13">
        <f t="shared" si="0"/>
        <v>0</v>
      </c>
      <c r="I30" s="27"/>
      <c r="J30" s="32"/>
      <c r="K30" s="12"/>
      <c r="L30" s="12"/>
      <c r="M30" s="14"/>
      <c r="O30" s="4"/>
    </row>
    <row r="31" spans="1:15" s="3" customFormat="1" ht="19.5" customHeight="1" x14ac:dyDescent="0.25">
      <c r="A31" s="1"/>
      <c r="B31" s="11" t="s">
        <v>35</v>
      </c>
      <c r="C31" s="12"/>
      <c r="D31" s="12"/>
      <c r="E31" s="12" t="s">
        <v>48</v>
      </c>
      <c r="F31" s="47"/>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3</v>
      </c>
    </row>
    <row r="36" spans="1:16" x14ac:dyDescent="0.25">
      <c r="B36" s="64"/>
      <c r="C36" s="22">
        <f t="shared" ref="C36:M36" si="1">SUM(C10:C33)</f>
        <v>0</v>
      </c>
      <c r="D36" s="22">
        <f t="shared" si="1"/>
        <v>0</v>
      </c>
      <c r="E36" s="22">
        <f t="shared" si="1"/>
        <v>5</v>
      </c>
      <c r="F36" s="22">
        <f t="shared" si="1"/>
        <v>0</v>
      </c>
      <c r="G36" s="22">
        <f t="shared" si="1"/>
        <v>0</v>
      </c>
      <c r="H36" s="22">
        <f t="shared" si="1"/>
        <v>5</v>
      </c>
      <c r="I36" s="29">
        <f t="shared" si="1"/>
        <v>0</v>
      </c>
      <c r="J36" s="35">
        <f t="shared" si="1"/>
        <v>3</v>
      </c>
      <c r="K36" s="22">
        <f t="shared" si="1"/>
        <v>0</v>
      </c>
      <c r="L36" s="22">
        <f t="shared" si="1"/>
        <v>0</v>
      </c>
      <c r="M36" s="23">
        <f t="shared" si="1"/>
        <v>0</v>
      </c>
    </row>
    <row r="37" spans="1:16" ht="15.75" thickBot="1" x14ac:dyDescent="0.3">
      <c r="B37" s="65"/>
      <c r="C37" s="16">
        <f>((C36*100)/$H$36)/100</f>
        <v>0</v>
      </c>
      <c r="D37" s="16">
        <f t="shared" ref="D37:I37" si="2">((D36*100)/$H$36)/100</f>
        <v>0</v>
      </c>
      <c r="E37" s="16">
        <f t="shared" si="2"/>
        <v>1</v>
      </c>
      <c r="F37" s="16">
        <f t="shared" si="2"/>
        <v>0</v>
      </c>
      <c r="G37" s="16">
        <f t="shared" si="2"/>
        <v>0</v>
      </c>
      <c r="H37" s="16">
        <f t="shared" si="2"/>
        <v>1</v>
      </c>
      <c r="I37" s="30">
        <f t="shared" si="2"/>
        <v>0</v>
      </c>
      <c r="J37" s="36">
        <f>((J36*100)/$P$35)/100</f>
        <v>1</v>
      </c>
      <c r="K37" s="17">
        <f>((K36*100)/$P$35)/100</f>
        <v>0</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7"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3" zoomScaleNormal="100" workbookViewId="0">
      <selection activeCell="K31" sqref="K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46250</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48</v>
      </c>
      <c r="F21" s="12"/>
      <c r="G21" s="12"/>
      <c r="H21" s="13">
        <f t="shared" si="0"/>
        <v>0</v>
      </c>
      <c r="I21" s="27"/>
      <c r="J21" s="32"/>
      <c r="K21" s="12"/>
      <c r="L21" s="12"/>
      <c r="M21" s="14"/>
      <c r="O21" s="4"/>
    </row>
    <row r="22" spans="1:15" s="3" customFormat="1" ht="19.5" customHeight="1" x14ac:dyDescent="0.25">
      <c r="A22" s="1"/>
      <c r="B22" s="11" t="s">
        <v>26</v>
      </c>
      <c r="C22" s="12"/>
      <c r="D22" s="12"/>
      <c r="E22" s="12" t="s">
        <v>48</v>
      </c>
      <c r="F22" s="12"/>
      <c r="G22" s="12"/>
      <c r="H22" s="13">
        <f t="shared" si="0"/>
        <v>0</v>
      </c>
      <c r="I22" s="27"/>
      <c r="J22" s="32"/>
      <c r="K22" s="12"/>
      <c r="L22" s="12"/>
      <c r="M22" s="14"/>
      <c r="O22" s="4"/>
    </row>
    <row r="23" spans="1:15" s="3" customFormat="1" ht="19.5" customHeight="1" x14ac:dyDescent="0.25">
      <c r="A23" s="1"/>
      <c r="B23" s="11" t="s">
        <v>27</v>
      </c>
      <c r="C23" s="12"/>
      <c r="D23" s="12"/>
      <c r="E23" s="12" t="s">
        <v>48</v>
      </c>
      <c r="F23" s="12"/>
      <c r="G23" s="12"/>
      <c r="H23" s="13">
        <f t="shared" si="0"/>
        <v>0</v>
      </c>
      <c r="I23" s="27"/>
      <c r="J23" s="32"/>
      <c r="K23" s="12"/>
      <c r="L23" s="12"/>
      <c r="M23" s="14"/>
      <c r="O23" s="4"/>
    </row>
    <row r="24" spans="1:15" s="3" customFormat="1" ht="19.5" customHeight="1" x14ac:dyDescent="0.25">
      <c r="A24" s="1"/>
      <c r="B24" s="11" t="s">
        <v>28</v>
      </c>
      <c r="C24" s="12"/>
      <c r="D24" s="12"/>
      <c r="E24" s="12">
        <v>1</v>
      </c>
      <c r="F24" s="12"/>
      <c r="G24" s="12"/>
      <c r="H24" s="13">
        <f t="shared" si="0"/>
        <v>1</v>
      </c>
      <c r="I24" s="27"/>
      <c r="J24" s="32"/>
      <c r="K24" s="12">
        <v>1</v>
      </c>
      <c r="L24" s="12"/>
      <c r="M24" s="14"/>
      <c r="O24" s="4"/>
    </row>
    <row r="25" spans="1:15" s="3" customFormat="1" ht="19.5" customHeight="1" x14ac:dyDescent="0.25">
      <c r="A25" s="1"/>
      <c r="B25" s="11" t="s">
        <v>29</v>
      </c>
      <c r="C25" s="12"/>
      <c r="D25" s="12"/>
      <c r="E25" s="12">
        <v>9</v>
      </c>
      <c r="F25" s="12">
        <v>14</v>
      </c>
      <c r="G25" s="12"/>
      <c r="H25" s="13">
        <f t="shared" si="0"/>
        <v>23</v>
      </c>
      <c r="I25" s="27"/>
      <c r="J25" s="32"/>
      <c r="K25" s="12">
        <v>1</v>
      </c>
      <c r="L25" s="12"/>
      <c r="M25" s="14"/>
      <c r="O25" s="4"/>
    </row>
    <row r="26" spans="1:15" s="3" customFormat="1" ht="19.5" customHeight="1" x14ac:dyDescent="0.25">
      <c r="A26" s="1"/>
      <c r="B26" s="11" t="s">
        <v>30</v>
      </c>
      <c r="C26" s="12"/>
      <c r="D26" s="12"/>
      <c r="E26" s="12">
        <v>19</v>
      </c>
      <c r="F26" s="12"/>
      <c r="G26" s="12"/>
      <c r="H26" s="13">
        <f t="shared" si="0"/>
        <v>19</v>
      </c>
      <c r="I26" s="27"/>
      <c r="J26" s="32"/>
      <c r="K26" s="12">
        <v>1</v>
      </c>
      <c r="L26" s="12"/>
      <c r="M26" s="14"/>
      <c r="O26" s="4"/>
    </row>
    <row r="27" spans="1:15" s="3" customFormat="1" ht="19.5" customHeight="1" x14ac:dyDescent="0.25">
      <c r="A27" s="1"/>
      <c r="B27" s="11" t="s">
        <v>31</v>
      </c>
      <c r="C27" s="12"/>
      <c r="D27" s="12"/>
      <c r="E27" s="12">
        <v>15</v>
      </c>
      <c r="F27" s="12">
        <v>2</v>
      </c>
      <c r="G27" s="12"/>
      <c r="H27" s="13">
        <f t="shared" si="0"/>
        <v>17</v>
      </c>
      <c r="I27" s="27"/>
      <c r="J27" s="32"/>
      <c r="K27" s="12">
        <v>1</v>
      </c>
      <c r="L27" s="12"/>
      <c r="M27" s="14"/>
      <c r="O27" s="4"/>
    </row>
    <row r="28" spans="1:15" s="3" customFormat="1" ht="19.5" customHeight="1" x14ac:dyDescent="0.25">
      <c r="A28" s="1"/>
      <c r="B28" s="11" t="s">
        <v>32</v>
      </c>
      <c r="C28" s="12"/>
      <c r="D28" s="12"/>
      <c r="E28" s="12">
        <v>15</v>
      </c>
      <c r="F28" s="12">
        <v>16</v>
      </c>
      <c r="G28" s="12"/>
      <c r="H28" s="13">
        <f t="shared" si="0"/>
        <v>31</v>
      </c>
      <c r="I28" s="27"/>
      <c r="J28" s="32"/>
      <c r="K28" s="12">
        <v>1</v>
      </c>
      <c r="L28" s="12"/>
      <c r="M28" s="14"/>
      <c r="O28" s="4"/>
    </row>
    <row r="29" spans="1:15" s="3" customFormat="1" ht="19.5" customHeight="1" x14ac:dyDescent="0.25">
      <c r="A29" s="1"/>
      <c r="B29" s="11" t="s">
        <v>33</v>
      </c>
      <c r="C29" s="12"/>
      <c r="D29" s="12"/>
      <c r="E29" s="12">
        <v>16</v>
      </c>
      <c r="F29" s="12">
        <v>6</v>
      </c>
      <c r="G29" s="12"/>
      <c r="H29" s="13">
        <f t="shared" si="0"/>
        <v>22</v>
      </c>
      <c r="I29" s="27"/>
      <c r="J29" s="32"/>
      <c r="K29" s="12">
        <v>1</v>
      </c>
      <c r="L29" s="12"/>
      <c r="M29" s="14"/>
      <c r="O29" s="4"/>
    </row>
    <row r="30" spans="1:15" s="3" customFormat="1" ht="19.5" customHeight="1" x14ac:dyDescent="0.25">
      <c r="A30" s="1"/>
      <c r="B30" s="11" t="s">
        <v>34</v>
      </c>
      <c r="C30" s="12"/>
      <c r="D30" s="12"/>
      <c r="E30" s="12">
        <v>12</v>
      </c>
      <c r="F30" s="12">
        <v>32</v>
      </c>
      <c r="G30" s="12"/>
      <c r="H30" s="13">
        <f t="shared" si="0"/>
        <v>44</v>
      </c>
      <c r="I30" s="27"/>
      <c r="J30" s="32"/>
      <c r="K30" s="12">
        <v>1</v>
      </c>
      <c r="L30" s="12"/>
      <c r="M30" s="14"/>
      <c r="O30" s="4"/>
    </row>
    <row r="31" spans="1:15" s="3" customFormat="1" ht="19.5" customHeight="1" x14ac:dyDescent="0.25">
      <c r="A31" s="1"/>
      <c r="B31" s="11" t="s">
        <v>35</v>
      </c>
      <c r="C31" s="12"/>
      <c r="D31" s="12"/>
      <c r="E31" s="12">
        <v>5</v>
      </c>
      <c r="F31" s="12">
        <v>8</v>
      </c>
      <c r="G31" s="12"/>
      <c r="H31" s="13">
        <f t="shared" si="0"/>
        <v>13</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8</v>
      </c>
    </row>
    <row r="36" spans="1:16" x14ac:dyDescent="0.25">
      <c r="B36" s="64"/>
      <c r="C36" s="22">
        <f t="shared" ref="C36:M36" si="1">SUM(C10:C33)</f>
        <v>0</v>
      </c>
      <c r="D36" s="22">
        <f t="shared" si="1"/>
        <v>0</v>
      </c>
      <c r="E36" s="22">
        <f t="shared" si="1"/>
        <v>92</v>
      </c>
      <c r="F36" s="22">
        <f t="shared" si="1"/>
        <v>78</v>
      </c>
      <c r="G36" s="22">
        <f t="shared" si="1"/>
        <v>0</v>
      </c>
      <c r="H36" s="22">
        <f t="shared" si="1"/>
        <v>170</v>
      </c>
      <c r="I36" s="29">
        <f t="shared" si="1"/>
        <v>0</v>
      </c>
      <c r="J36" s="35">
        <f t="shared" si="1"/>
        <v>0</v>
      </c>
      <c r="K36" s="22">
        <f t="shared" si="1"/>
        <v>8</v>
      </c>
      <c r="L36" s="22">
        <f t="shared" si="1"/>
        <v>0</v>
      </c>
      <c r="M36" s="23">
        <f t="shared" si="1"/>
        <v>0</v>
      </c>
    </row>
    <row r="37" spans="1:16" ht="15.75" thickBot="1" x14ac:dyDescent="0.3">
      <c r="B37" s="65"/>
      <c r="C37" s="16">
        <f>((C36*100)/$H$36)/100</f>
        <v>0</v>
      </c>
      <c r="D37" s="16">
        <f t="shared" ref="D37:I37" si="2">((D36*100)/$H$36)/100</f>
        <v>0</v>
      </c>
      <c r="E37" s="16">
        <f t="shared" si="2"/>
        <v>0.54117647058823526</v>
      </c>
      <c r="F37" s="16">
        <f t="shared" si="2"/>
        <v>0.45882352941176469</v>
      </c>
      <c r="G37" s="16">
        <f t="shared" si="2"/>
        <v>0</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6"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0" zoomScaleNormal="100" workbookViewId="0">
      <selection activeCell="K31" sqref="K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46251</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v>6</v>
      </c>
      <c r="F21" s="12">
        <v>2</v>
      </c>
      <c r="G21" s="12"/>
      <c r="H21" s="13">
        <f t="shared" si="0"/>
        <v>8</v>
      </c>
      <c r="I21" s="27"/>
      <c r="J21" s="32"/>
      <c r="K21" s="12">
        <v>1</v>
      </c>
      <c r="L21" s="12"/>
      <c r="M21" s="14"/>
      <c r="O21" s="4"/>
    </row>
    <row r="22" spans="1:15" s="3" customFormat="1" ht="19.5" customHeight="1" x14ac:dyDescent="0.25">
      <c r="A22" s="1"/>
      <c r="B22" s="11" t="s">
        <v>26</v>
      </c>
      <c r="C22" s="12"/>
      <c r="D22" s="12"/>
      <c r="E22" s="12">
        <v>11</v>
      </c>
      <c r="F22" s="12">
        <v>42</v>
      </c>
      <c r="G22" s="12"/>
      <c r="H22" s="13">
        <f t="shared" si="0"/>
        <v>53</v>
      </c>
      <c r="I22" s="27"/>
      <c r="J22" s="32"/>
      <c r="K22" s="12">
        <v>1</v>
      </c>
      <c r="L22" s="12"/>
      <c r="M22" s="14"/>
      <c r="O22" s="4"/>
    </row>
    <row r="23" spans="1:15" s="3" customFormat="1" ht="19.5" customHeight="1" x14ac:dyDescent="0.25">
      <c r="A23" s="1"/>
      <c r="B23" s="11" t="s">
        <v>27</v>
      </c>
      <c r="C23" s="12"/>
      <c r="D23" s="12"/>
      <c r="E23" s="12">
        <v>5</v>
      </c>
      <c r="F23" s="12">
        <v>12</v>
      </c>
      <c r="G23" s="12"/>
      <c r="H23" s="13">
        <f t="shared" si="0"/>
        <v>17</v>
      </c>
      <c r="I23" s="27"/>
      <c r="J23" s="32"/>
      <c r="K23" s="12">
        <v>1</v>
      </c>
      <c r="L23" s="12"/>
      <c r="M23" s="14"/>
      <c r="O23" s="4"/>
    </row>
    <row r="24" spans="1:15" s="3" customFormat="1" ht="19.5" customHeight="1" x14ac:dyDescent="0.25">
      <c r="A24" s="1"/>
      <c r="B24" s="11" t="s">
        <v>28</v>
      </c>
      <c r="C24" s="12"/>
      <c r="D24" s="12"/>
      <c r="E24" s="12">
        <v>12</v>
      </c>
      <c r="F24" s="12">
        <v>22</v>
      </c>
      <c r="G24" s="12"/>
      <c r="H24" s="13">
        <f t="shared" si="0"/>
        <v>34</v>
      </c>
      <c r="I24" s="27"/>
      <c r="J24" s="32"/>
      <c r="K24" s="12">
        <v>1</v>
      </c>
      <c r="L24" s="12"/>
      <c r="M24" s="14"/>
      <c r="O24" s="4"/>
    </row>
    <row r="25" spans="1:15" s="3" customFormat="1" ht="19.5" customHeight="1" x14ac:dyDescent="0.25">
      <c r="A25" s="1"/>
      <c r="B25" s="11" t="s">
        <v>29</v>
      </c>
      <c r="C25" s="12"/>
      <c r="D25" s="12"/>
      <c r="E25" s="12">
        <v>17</v>
      </c>
      <c r="F25" s="12">
        <v>12</v>
      </c>
      <c r="G25" s="12">
        <v>1</v>
      </c>
      <c r="H25" s="13">
        <f t="shared" si="0"/>
        <v>30</v>
      </c>
      <c r="I25" s="27"/>
      <c r="J25" s="32"/>
      <c r="K25" s="12">
        <v>1</v>
      </c>
      <c r="L25" s="12"/>
      <c r="M25" s="14"/>
      <c r="O25" s="4"/>
    </row>
    <row r="26" spans="1:15" s="3" customFormat="1" ht="19.5" customHeight="1" x14ac:dyDescent="0.25">
      <c r="A26" s="1"/>
      <c r="B26" s="11" t="s">
        <v>30</v>
      </c>
      <c r="C26" s="12"/>
      <c r="D26" s="12"/>
      <c r="E26" s="12">
        <v>18</v>
      </c>
      <c r="F26" s="12">
        <v>24</v>
      </c>
      <c r="G26" s="12">
        <v>1</v>
      </c>
      <c r="H26" s="13">
        <f t="shared" si="0"/>
        <v>43</v>
      </c>
      <c r="I26" s="27"/>
      <c r="J26" s="32"/>
      <c r="K26" s="12">
        <v>1</v>
      </c>
      <c r="L26" s="12"/>
      <c r="M26" s="14"/>
      <c r="O26" s="4"/>
    </row>
    <row r="27" spans="1:15" s="3" customFormat="1" ht="19.5" customHeight="1" x14ac:dyDescent="0.25">
      <c r="A27" s="1"/>
      <c r="B27" s="11" t="s">
        <v>31</v>
      </c>
      <c r="C27" s="12"/>
      <c r="D27" s="12"/>
      <c r="E27" s="12">
        <v>17</v>
      </c>
      <c r="F27" s="12">
        <v>20</v>
      </c>
      <c r="G27" s="12"/>
      <c r="H27" s="13">
        <f t="shared" si="0"/>
        <v>37</v>
      </c>
      <c r="I27" s="27"/>
      <c r="J27" s="32"/>
      <c r="K27" s="12">
        <v>1</v>
      </c>
      <c r="L27" s="12"/>
      <c r="M27" s="14"/>
      <c r="O27" s="4"/>
    </row>
    <row r="28" spans="1:15" s="3" customFormat="1" ht="19.5" customHeight="1" x14ac:dyDescent="0.25">
      <c r="A28" s="1"/>
      <c r="B28" s="11" t="s">
        <v>32</v>
      </c>
      <c r="C28" s="12"/>
      <c r="D28" s="12"/>
      <c r="E28" s="12">
        <v>19</v>
      </c>
      <c r="F28" s="12">
        <v>12</v>
      </c>
      <c r="G28" s="12"/>
      <c r="H28" s="13">
        <f t="shared" si="0"/>
        <v>31</v>
      </c>
      <c r="I28" s="27"/>
      <c r="J28" s="32"/>
      <c r="K28" s="12">
        <v>1</v>
      </c>
      <c r="L28" s="12"/>
      <c r="M28" s="14"/>
      <c r="O28" s="4"/>
    </row>
    <row r="29" spans="1:15" s="3" customFormat="1" ht="19.5" customHeight="1" x14ac:dyDescent="0.25">
      <c r="A29" s="1"/>
      <c r="B29" s="11" t="s">
        <v>33</v>
      </c>
      <c r="C29" s="12"/>
      <c r="D29" s="12"/>
      <c r="E29" s="12">
        <v>16</v>
      </c>
      <c r="F29" s="12">
        <v>4</v>
      </c>
      <c r="G29" s="12"/>
      <c r="H29" s="13">
        <f t="shared" si="0"/>
        <v>20</v>
      </c>
      <c r="I29" s="27"/>
      <c r="J29" s="32"/>
      <c r="K29" s="12">
        <v>1</v>
      </c>
      <c r="L29" s="12"/>
      <c r="M29" s="14"/>
      <c r="O29" s="4"/>
    </row>
    <row r="30" spans="1:15" s="3" customFormat="1" ht="19.5" customHeight="1" x14ac:dyDescent="0.25">
      <c r="A30" s="1"/>
      <c r="B30" s="11" t="s">
        <v>34</v>
      </c>
      <c r="C30" s="12"/>
      <c r="D30" s="12"/>
      <c r="E30" s="12">
        <v>21</v>
      </c>
      <c r="F30" s="12">
        <v>34</v>
      </c>
      <c r="G30" s="12"/>
      <c r="H30" s="13">
        <f t="shared" si="0"/>
        <v>55</v>
      </c>
      <c r="I30" s="27"/>
      <c r="J30" s="32"/>
      <c r="K30" s="12">
        <v>1</v>
      </c>
      <c r="L30" s="12"/>
      <c r="M30" s="14"/>
      <c r="O30" s="4"/>
    </row>
    <row r="31" spans="1:15" s="3" customFormat="1" ht="19.5" customHeight="1" x14ac:dyDescent="0.25">
      <c r="A31" s="1"/>
      <c r="B31" s="11" t="s">
        <v>35</v>
      </c>
      <c r="C31" s="12"/>
      <c r="D31" s="12"/>
      <c r="E31" s="12">
        <v>3</v>
      </c>
      <c r="F31" s="12"/>
      <c r="G31" s="12"/>
      <c r="H31" s="13">
        <f t="shared" si="0"/>
        <v>3</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10</v>
      </c>
    </row>
    <row r="36" spans="1:16" x14ac:dyDescent="0.25">
      <c r="B36" s="64"/>
      <c r="C36" s="22">
        <f t="shared" ref="C36:M36" si="1">SUM(C10:C33)</f>
        <v>0</v>
      </c>
      <c r="D36" s="22">
        <f t="shared" si="1"/>
        <v>0</v>
      </c>
      <c r="E36" s="22">
        <f t="shared" si="1"/>
        <v>145</v>
      </c>
      <c r="F36" s="22">
        <f t="shared" si="1"/>
        <v>184</v>
      </c>
      <c r="G36" s="22">
        <f t="shared" si="1"/>
        <v>2</v>
      </c>
      <c r="H36" s="22">
        <f t="shared" si="1"/>
        <v>331</v>
      </c>
      <c r="I36" s="29">
        <f t="shared" si="1"/>
        <v>0</v>
      </c>
      <c r="J36" s="35">
        <f t="shared" si="1"/>
        <v>0</v>
      </c>
      <c r="K36" s="22">
        <f t="shared" si="1"/>
        <v>10</v>
      </c>
      <c r="L36" s="22">
        <f t="shared" si="1"/>
        <v>0</v>
      </c>
      <c r="M36" s="23">
        <f t="shared" si="1"/>
        <v>0</v>
      </c>
    </row>
    <row r="37" spans="1:16" ht="15.75" thickBot="1" x14ac:dyDescent="0.3">
      <c r="B37" s="65"/>
      <c r="C37" s="16">
        <f>((C36*100)/$H$36)/100</f>
        <v>0</v>
      </c>
      <c r="D37" s="16">
        <f t="shared" ref="D37:I37" si="2">((D36*100)/$H$36)/100</f>
        <v>0</v>
      </c>
      <c r="E37" s="16">
        <f t="shared" si="2"/>
        <v>0.4380664652567976</v>
      </c>
      <c r="F37" s="16">
        <f t="shared" si="2"/>
        <v>0.5558912386706949</v>
      </c>
      <c r="G37" s="16">
        <f t="shared" si="2"/>
        <v>6.0422960725075529E-3</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5"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7" zoomScaleNormal="100" workbookViewId="0">
      <selection activeCell="K32" sqref="K32"/>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46252</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48</v>
      </c>
      <c r="F21" s="12"/>
      <c r="G21" s="12"/>
      <c r="H21" s="13">
        <f t="shared" si="0"/>
        <v>0</v>
      </c>
      <c r="I21" s="27"/>
      <c r="J21" s="32"/>
      <c r="K21" s="12"/>
      <c r="L21" s="12"/>
      <c r="M21" s="14"/>
      <c r="O21" s="4"/>
    </row>
    <row r="22" spans="1:15" s="3" customFormat="1" ht="19.5" customHeight="1" x14ac:dyDescent="0.25">
      <c r="A22" s="1"/>
      <c r="B22" s="11" t="s">
        <v>26</v>
      </c>
      <c r="C22" s="12"/>
      <c r="D22" s="12"/>
      <c r="E22" s="12">
        <v>1</v>
      </c>
      <c r="F22" s="12"/>
      <c r="G22" s="12"/>
      <c r="H22" s="13">
        <f t="shared" si="0"/>
        <v>1</v>
      </c>
      <c r="I22" s="27"/>
      <c r="J22" s="32"/>
      <c r="K22" s="12">
        <v>1</v>
      </c>
      <c r="L22" s="12"/>
      <c r="M22" s="14"/>
      <c r="O22" s="4"/>
    </row>
    <row r="23" spans="1:15" s="3" customFormat="1" ht="19.5" customHeight="1" x14ac:dyDescent="0.25">
      <c r="A23" s="1"/>
      <c r="B23" s="11" t="s">
        <v>27</v>
      </c>
      <c r="C23" s="12"/>
      <c r="D23" s="12"/>
      <c r="E23" s="12">
        <v>6</v>
      </c>
      <c r="F23" s="12"/>
      <c r="G23" s="12"/>
      <c r="H23" s="13">
        <f t="shared" si="0"/>
        <v>6</v>
      </c>
      <c r="I23" s="27"/>
      <c r="J23" s="32"/>
      <c r="K23" s="12">
        <v>1</v>
      </c>
      <c r="L23" s="12"/>
      <c r="M23" s="14"/>
      <c r="O23" s="4"/>
    </row>
    <row r="24" spans="1:15" s="3" customFormat="1" ht="19.5" customHeight="1" x14ac:dyDescent="0.25">
      <c r="A24" s="1"/>
      <c r="B24" s="11" t="s">
        <v>28</v>
      </c>
      <c r="C24" s="12"/>
      <c r="D24" s="12"/>
      <c r="E24" s="12">
        <v>13</v>
      </c>
      <c r="F24" s="12"/>
      <c r="G24" s="12"/>
      <c r="H24" s="13">
        <f t="shared" si="0"/>
        <v>13</v>
      </c>
      <c r="I24" s="27"/>
      <c r="J24" s="32"/>
      <c r="K24" s="12">
        <v>1</v>
      </c>
      <c r="L24" s="12"/>
      <c r="M24" s="14"/>
      <c r="O24" s="4"/>
    </row>
    <row r="25" spans="1:15" s="3" customFormat="1" ht="19.5" customHeight="1" x14ac:dyDescent="0.25">
      <c r="A25" s="1"/>
      <c r="B25" s="11" t="s">
        <v>29</v>
      </c>
      <c r="C25" s="12"/>
      <c r="D25" s="12"/>
      <c r="E25" s="12">
        <v>22</v>
      </c>
      <c r="F25" s="12">
        <v>6</v>
      </c>
      <c r="G25" s="12"/>
      <c r="H25" s="13">
        <f t="shared" si="0"/>
        <v>28</v>
      </c>
      <c r="I25" s="27"/>
      <c r="J25" s="32"/>
      <c r="K25" s="12">
        <v>1</v>
      </c>
      <c r="L25" s="12"/>
      <c r="M25" s="14"/>
      <c r="O25" s="4"/>
    </row>
    <row r="26" spans="1:15" s="3" customFormat="1" ht="19.5" customHeight="1" x14ac:dyDescent="0.25">
      <c r="A26" s="1"/>
      <c r="B26" s="11" t="s">
        <v>30</v>
      </c>
      <c r="C26" s="12"/>
      <c r="D26" s="12"/>
      <c r="E26" s="12">
        <v>23</v>
      </c>
      <c r="F26" s="12">
        <v>12</v>
      </c>
      <c r="G26" s="12"/>
      <c r="H26" s="13">
        <f t="shared" si="0"/>
        <v>35</v>
      </c>
      <c r="I26" s="27">
        <v>1</v>
      </c>
      <c r="J26" s="32"/>
      <c r="K26" s="12">
        <v>1</v>
      </c>
      <c r="L26" s="12"/>
      <c r="M26" s="14"/>
      <c r="O26" s="4"/>
    </row>
    <row r="27" spans="1:15" s="3" customFormat="1" ht="19.5" customHeight="1" x14ac:dyDescent="0.25">
      <c r="A27" s="1"/>
      <c r="B27" s="11" t="s">
        <v>31</v>
      </c>
      <c r="C27" s="12"/>
      <c r="D27" s="12"/>
      <c r="E27" s="12">
        <v>30</v>
      </c>
      <c r="F27" s="12">
        <v>20</v>
      </c>
      <c r="G27" s="12"/>
      <c r="H27" s="13">
        <f t="shared" si="0"/>
        <v>50</v>
      </c>
      <c r="I27" s="27"/>
      <c r="J27" s="32"/>
      <c r="K27" s="12">
        <v>1</v>
      </c>
      <c r="L27" s="12"/>
      <c r="M27" s="14"/>
      <c r="O27" s="4"/>
    </row>
    <row r="28" spans="1:15" s="3" customFormat="1" ht="19.5" customHeight="1" x14ac:dyDescent="0.25">
      <c r="A28" s="1"/>
      <c r="B28" s="11" t="s">
        <v>32</v>
      </c>
      <c r="C28" s="12"/>
      <c r="D28" s="12"/>
      <c r="E28" s="12">
        <v>25</v>
      </c>
      <c r="F28" s="12">
        <v>6</v>
      </c>
      <c r="G28" s="12"/>
      <c r="H28" s="13">
        <f t="shared" si="0"/>
        <v>31</v>
      </c>
      <c r="I28" s="27"/>
      <c r="J28" s="32"/>
      <c r="K28" s="12">
        <v>1</v>
      </c>
      <c r="L28" s="12"/>
      <c r="M28" s="14"/>
      <c r="O28" s="4"/>
    </row>
    <row r="29" spans="1:15" s="3" customFormat="1" ht="19.5" customHeight="1" x14ac:dyDescent="0.25">
      <c r="A29" s="1"/>
      <c r="B29" s="11" t="s">
        <v>33</v>
      </c>
      <c r="C29" s="12"/>
      <c r="D29" s="12"/>
      <c r="E29" s="12">
        <v>26</v>
      </c>
      <c r="F29" s="12">
        <v>6</v>
      </c>
      <c r="G29" s="12"/>
      <c r="H29" s="13">
        <f t="shared" si="0"/>
        <v>32</v>
      </c>
      <c r="I29" s="27"/>
      <c r="J29" s="32"/>
      <c r="K29" s="12">
        <v>1</v>
      </c>
      <c r="L29" s="12"/>
      <c r="M29" s="14"/>
      <c r="O29" s="4"/>
    </row>
    <row r="30" spans="1:15" s="3" customFormat="1" ht="19.5" customHeight="1" x14ac:dyDescent="0.25">
      <c r="A30" s="1"/>
      <c r="B30" s="11" t="s">
        <v>34</v>
      </c>
      <c r="C30" s="12"/>
      <c r="D30" s="12"/>
      <c r="E30" s="12">
        <v>21</v>
      </c>
      <c r="F30" s="12">
        <v>10</v>
      </c>
      <c r="G30" s="12"/>
      <c r="H30" s="13">
        <f t="shared" si="0"/>
        <v>31</v>
      </c>
      <c r="I30" s="27"/>
      <c r="J30" s="32"/>
      <c r="K30" s="12">
        <v>1</v>
      </c>
      <c r="L30" s="12"/>
      <c r="M30" s="14"/>
      <c r="O30" s="4"/>
    </row>
    <row r="31" spans="1:15" s="3" customFormat="1" ht="19.5" customHeight="1" x14ac:dyDescent="0.25">
      <c r="A31" s="1"/>
      <c r="B31" s="11" t="s">
        <v>35</v>
      </c>
      <c r="C31" s="12"/>
      <c r="D31" s="12"/>
      <c r="E31" s="12">
        <v>4</v>
      </c>
      <c r="F31" s="12"/>
      <c r="G31" s="12"/>
      <c r="H31" s="13">
        <f t="shared" si="0"/>
        <v>4</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10</v>
      </c>
    </row>
    <row r="36" spans="1:16" x14ac:dyDescent="0.25">
      <c r="B36" s="64"/>
      <c r="C36" s="22">
        <f t="shared" ref="C36:M36" si="1">SUM(C10:C33)</f>
        <v>0</v>
      </c>
      <c r="D36" s="22">
        <f t="shared" si="1"/>
        <v>0</v>
      </c>
      <c r="E36" s="22">
        <f t="shared" si="1"/>
        <v>171</v>
      </c>
      <c r="F36" s="22">
        <f t="shared" si="1"/>
        <v>60</v>
      </c>
      <c r="G36" s="22">
        <f t="shared" si="1"/>
        <v>0</v>
      </c>
      <c r="H36" s="22">
        <f t="shared" si="1"/>
        <v>231</v>
      </c>
      <c r="I36" s="29">
        <f t="shared" si="1"/>
        <v>1</v>
      </c>
      <c r="J36" s="35">
        <f t="shared" si="1"/>
        <v>0</v>
      </c>
      <c r="K36" s="22">
        <f t="shared" si="1"/>
        <v>10</v>
      </c>
      <c r="L36" s="22">
        <f t="shared" si="1"/>
        <v>0</v>
      </c>
      <c r="M36" s="23">
        <f t="shared" si="1"/>
        <v>0</v>
      </c>
    </row>
    <row r="37" spans="1:16" ht="15.75" thickBot="1" x14ac:dyDescent="0.3">
      <c r="B37" s="65"/>
      <c r="C37" s="16">
        <f>((C36*100)/$H$36)/100</f>
        <v>0</v>
      </c>
      <c r="D37" s="16">
        <f t="shared" ref="D37:I37" si="2">((D36*100)/$H$36)/100</f>
        <v>0</v>
      </c>
      <c r="E37" s="16">
        <f t="shared" si="2"/>
        <v>0.74025974025974017</v>
      </c>
      <c r="F37" s="16">
        <f t="shared" si="2"/>
        <v>0.25974025974025972</v>
      </c>
      <c r="G37" s="16">
        <f t="shared" si="2"/>
        <v>0</v>
      </c>
      <c r="H37" s="16">
        <f t="shared" si="2"/>
        <v>1</v>
      </c>
      <c r="I37" s="30">
        <f t="shared" si="2"/>
        <v>4.329004329004329E-3</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4"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opLeftCell="A10" zoomScaleNormal="100" workbookViewId="0">
      <selection activeCell="F31" sqref="F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46253</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v>5</v>
      </c>
      <c r="F22" s="12"/>
      <c r="G22" s="12"/>
      <c r="H22" s="13">
        <f t="shared" si="0"/>
        <v>5</v>
      </c>
      <c r="I22" s="27"/>
      <c r="J22" s="32"/>
      <c r="K22" s="12">
        <v>1</v>
      </c>
      <c r="L22" s="12"/>
      <c r="M22" s="14"/>
      <c r="O22" s="4"/>
    </row>
    <row r="23" spans="1:15" s="3" customFormat="1" ht="19.5" customHeight="1" x14ac:dyDescent="0.25">
      <c r="A23" s="1"/>
      <c r="B23" s="11" t="s">
        <v>27</v>
      </c>
      <c r="C23" s="12"/>
      <c r="D23" s="12"/>
      <c r="E23" s="12">
        <v>11</v>
      </c>
      <c r="F23" s="12"/>
      <c r="G23" s="12"/>
      <c r="H23" s="13">
        <f t="shared" si="0"/>
        <v>11</v>
      </c>
      <c r="I23" s="27">
        <v>1</v>
      </c>
      <c r="J23" s="32">
        <v>1</v>
      </c>
      <c r="K23" s="12"/>
      <c r="L23" s="12"/>
      <c r="M23" s="14"/>
      <c r="O23" s="4"/>
    </row>
    <row r="24" spans="1:15" s="3" customFormat="1" ht="19.5" customHeight="1" x14ac:dyDescent="0.25">
      <c r="A24" s="1"/>
      <c r="B24" s="11" t="s">
        <v>28</v>
      </c>
      <c r="C24" s="12"/>
      <c r="D24" s="12"/>
      <c r="E24" s="12">
        <v>23</v>
      </c>
      <c r="F24" s="12">
        <v>8</v>
      </c>
      <c r="G24" s="12"/>
      <c r="H24" s="13">
        <f t="shared" si="0"/>
        <v>31</v>
      </c>
      <c r="I24" s="27">
        <v>1</v>
      </c>
      <c r="J24" s="32">
        <v>1</v>
      </c>
      <c r="K24" s="12"/>
      <c r="L24" s="12"/>
      <c r="M24" s="14"/>
      <c r="O24" s="4"/>
    </row>
    <row r="25" spans="1:15" s="3" customFormat="1" ht="19.5" customHeight="1" x14ac:dyDescent="0.25">
      <c r="A25" s="1"/>
      <c r="B25" s="11" t="s">
        <v>29</v>
      </c>
      <c r="C25" s="12"/>
      <c r="D25" s="12"/>
      <c r="E25" s="12">
        <v>29</v>
      </c>
      <c r="F25" s="12">
        <v>10</v>
      </c>
      <c r="G25" s="12"/>
      <c r="H25" s="13">
        <f t="shared" si="0"/>
        <v>39</v>
      </c>
      <c r="I25" s="27"/>
      <c r="J25" s="32"/>
      <c r="K25" s="12">
        <v>1</v>
      </c>
      <c r="L25" s="12"/>
      <c r="M25" s="14"/>
      <c r="O25" s="4"/>
    </row>
    <row r="26" spans="1:15" s="3" customFormat="1" ht="19.5" customHeight="1" x14ac:dyDescent="0.25">
      <c r="A26" s="1"/>
      <c r="B26" s="11" t="s">
        <v>30</v>
      </c>
      <c r="C26" s="12"/>
      <c r="D26" s="12"/>
      <c r="E26" s="12">
        <v>29</v>
      </c>
      <c r="F26" s="12"/>
      <c r="G26" s="12"/>
      <c r="H26" s="13">
        <f t="shared" si="0"/>
        <v>29</v>
      </c>
      <c r="I26" s="27"/>
      <c r="J26" s="32"/>
      <c r="K26" s="12">
        <v>1</v>
      </c>
      <c r="L26" s="12"/>
      <c r="M26" s="14"/>
      <c r="O26" s="4"/>
    </row>
    <row r="27" spans="1:15" s="3" customFormat="1" ht="19.5" customHeight="1" x14ac:dyDescent="0.25">
      <c r="A27" s="1"/>
      <c r="B27" s="11" t="s">
        <v>31</v>
      </c>
      <c r="C27" s="12"/>
      <c r="D27" s="12"/>
      <c r="E27" s="12">
        <v>32</v>
      </c>
      <c r="F27" s="12">
        <v>2</v>
      </c>
      <c r="G27" s="12"/>
      <c r="H27" s="13">
        <f t="shared" si="0"/>
        <v>34</v>
      </c>
      <c r="I27" s="27">
        <v>1</v>
      </c>
      <c r="J27" s="32"/>
      <c r="K27" s="12">
        <v>1</v>
      </c>
      <c r="L27" s="12"/>
      <c r="M27" s="14"/>
      <c r="O27" s="4"/>
    </row>
    <row r="28" spans="1:15" s="3" customFormat="1" ht="19.5" customHeight="1" x14ac:dyDescent="0.25">
      <c r="A28" s="1"/>
      <c r="B28" s="11" t="s">
        <v>32</v>
      </c>
      <c r="C28" s="12"/>
      <c r="D28" s="12"/>
      <c r="E28" s="12">
        <v>29</v>
      </c>
      <c r="F28" s="12">
        <v>8</v>
      </c>
      <c r="G28" s="12"/>
      <c r="H28" s="13">
        <f t="shared" si="0"/>
        <v>37</v>
      </c>
      <c r="I28" s="27"/>
      <c r="J28" s="32">
        <v>1</v>
      </c>
      <c r="K28" s="12"/>
      <c r="L28" s="12"/>
      <c r="M28" s="14"/>
      <c r="O28" s="4"/>
    </row>
    <row r="29" spans="1:15" s="3" customFormat="1" ht="19.5" customHeight="1" x14ac:dyDescent="0.25">
      <c r="A29" s="1"/>
      <c r="B29" s="11" t="s">
        <v>33</v>
      </c>
      <c r="C29" s="12"/>
      <c r="D29" s="12"/>
      <c r="E29" s="12">
        <v>29</v>
      </c>
      <c r="F29" s="12">
        <v>10</v>
      </c>
      <c r="G29" s="12"/>
      <c r="H29" s="13">
        <f t="shared" si="0"/>
        <v>39</v>
      </c>
      <c r="I29" s="27"/>
      <c r="J29" s="32">
        <v>1</v>
      </c>
      <c r="K29" s="12"/>
      <c r="L29" s="12"/>
      <c r="M29" s="14"/>
      <c r="O29" s="4"/>
    </row>
    <row r="30" spans="1:15" s="3" customFormat="1" ht="19.5" customHeight="1" x14ac:dyDescent="0.25">
      <c r="A30" s="1"/>
      <c r="B30" s="11" t="s">
        <v>34</v>
      </c>
      <c r="C30" s="12"/>
      <c r="D30" s="12"/>
      <c r="E30" s="12">
        <v>26</v>
      </c>
      <c r="F30" s="49">
        <v>6</v>
      </c>
      <c r="G30" s="12"/>
      <c r="H30" s="13">
        <f t="shared" si="0"/>
        <v>32</v>
      </c>
      <c r="I30" s="27"/>
      <c r="J30" s="32">
        <v>1</v>
      </c>
      <c r="K30" s="12"/>
      <c r="L30" s="12"/>
      <c r="M30" s="14"/>
      <c r="O30" s="4"/>
    </row>
    <row r="31" spans="1:15" s="3" customFormat="1" ht="19.5" customHeight="1" x14ac:dyDescent="0.25">
      <c r="A31" s="1"/>
      <c r="B31" s="11" t="s">
        <v>35</v>
      </c>
      <c r="C31" s="12"/>
      <c r="D31" s="12"/>
      <c r="E31" s="12">
        <v>11</v>
      </c>
      <c r="F31" s="49" t="s">
        <v>51</v>
      </c>
      <c r="G31" s="12"/>
      <c r="H31" s="13">
        <f t="shared" si="0"/>
        <v>11</v>
      </c>
      <c r="I31" s="27"/>
      <c r="J31" s="32">
        <v>1</v>
      </c>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10</v>
      </c>
    </row>
    <row r="36" spans="1:16" x14ac:dyDescent="0.25">
      <c r="B36" s="64"/>
      <c r="C36" s="22">
        <f t="shared" ref="C36:M36" si="1">SUM(C10:C33)</f>
        <v>0</v>
      </c>
      <c r="D36" s="22">
        <f t="shared" si="1"/>
        <v>0</v>
      </c>
      <c r="E36" s="22">
        <f t="shared" si="1"/>
        <v>224</v>
      </c>
      <c r="F36" s="22">
        <f t="shared" si="1"/>
        <v>44</v>
      </c>
      <c r="G36" s="22">
        <f t="shared" si="1"/>
        <v>0</v>
      </c>
      <c r="H36" s="22">
        <f t="shared" si="1"/>
        <v>268</v>
      </c>
      <c r="I36" s="29">
        <f t="shared" si="1"/>
        <v>3</v>
      </c>
      <c r="J36" s="35">
        <f t="shared" si="1"/>
        <v>6</v>
      </c>
      <c r="K36" s="22">
        <f t="shared" si="1"/>
        <v>4</v>
      </c>
      <c r="L36" s="22">
        <f t="shared" si="1"/>
        <v>0</v>
      </c>
      <c r="M36" s="23">
        <f t="shared" si="1"/>
        <v>0</v>
      </c>
    </row>
    <row r="37" spans="1:16" ht="15.75" thickBot="1" x14ac:dyDescent="0.3">
      <c r="B37" s="65"/>
      <c r="C37" s="16">
        <f>((C36*100)/$H$36)/100</f>
        <v>0</v>
      </c>
      <c r="D37" s="16">
        <f t="shared" ref="D37:I37" si="2">((D36*100)/$H$36)/100</f>
        <v>0</v>
      </c>
      <c r="E37" s="16">
        <f t="shared" si="2"/>
        <v>0.83582089552238814</v>
      </c>
      <c r="F37" s="16">
        <f t="shared" si="2"/>
        <v>0.16417910447761194</v>
      </c>
      <c r="G37" s="16">
        <f t="shared" si="2"/>
        <v>0</v>
      </c>
      <c r="H37" s="16">
        <f t="shared" si="2"/>
        <v>1</v>
      </c>
      <c r="I37" s="30">
        <f t="shared" si="2"/>
        <v>1.1194029850746268E-2</v>
      </c>
      <c r="J37" s="36">
        <f>((J36*100)/$P$35)/100</f>
        <v>0.6</v>
      </c>
      <c r="K37" s="17">
        <f>((K36*100)/$P$35)/100</f>
        <v>0.4</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3"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tabSelected="1" topLeftCell="A4" zoomScaleNormal="100" workbookViewId="0">
      <selection activeCell="F31" sqref="F31"/>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46254</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t="s">
        <v>48</v>
      </c>
      <c r="F21" s="12"/>
      <c r="G21" s="12"/>
      <c r="H21" s="13">
        <f t="shared" si="0"/>
        <v>0</v>
      </c>
      <c r="I21" s="27"/>
      <c r="J21" s="32"/>
      <c r="K21" s="12"/>
      <c r="L21" s="12"/>
      <c r="M21" s="14"/>
      <c r="O21" s="4"/>
    </row>
    <row r="22" spans="1:15" s="3" customFormat="1" ht="19.5" customHeight="1" x14ac:dyDescent="0.25">
      <c r="A22" s="1"/>
      <c r="B22" s="11" t="s">
        <v>26</v>
      </c>
      <c r="C22" s="12"/>
      <c r="D22" s="12"/>
      <c r="E22" s="12" t="s">
        <v>48</v>
      </c>
      <c r="F22" s="12"/>
      <c r="G22" s="12"/>
      <c r="H22" s="13">
        <f t="shared" si="0"/>
        <v>0</v>
      </c>
      <c r="I22" s="27"/>
      <c r="J22" s="32"/>
      <c r="K22" s="12"/>
      <c r="L22" s="12"/>
      <c r="M22" s="14"/>
      <c r="O22" s="4"/>
    </row>
    <row r="23" spans="1:15" s="3" customFormat="1" ht="19.5" customHeight="1" x14ac:dyDescent="0.25">
      <c r="A23" s="1"/>
      <c r="B23" s="11" t="s">
        <v>27</v>
      </c>
      <c r="C23" s="12"/>
      <c r="D23" s="12"/>
      <c r="E23" s="12" t="s">
        <v>48</v>
      </c>
      <c r="F23" s="12"/>
      <c r="G23" s="12"/>
      <c r="H23" s="13">
        <f t="shared" si="0"/>
        <v>0</v>
      </c>
      <c r="I23" s="27"/>
      <c r="J23" s="32"/>
      <c r="K23" s="12"/>
      <c r="L23" s="12"/>
      <c r="M23" s="14"/>
      <c r="O23" s="4"/>
    </row>
    <row r="24" spans="1:15" s="3" customFormat="1" ht="19.5" customHeight="1" x14ac:dyDescent="0.25">
      <c r="A24" s="1"/>
      <c r="B24" s="11" t="s">
        <v>28</v>
      </c>
      <c r="C24" s="12"/>
      <c r="D24" s="12"/>
      <c r="E24" s="12" t="s">
        <v>48</v>
      </c>
      <c r="F24" s="12"/>
      <c r="G24" s="12"/>
      <c r="H24" s="13">
        <f t="shared" si="0"/>
        <v>0</v>
      </c>
      <c r="I24" s="27"/>
      <c r="J24" s="32"/>
      <c r="K24" s="12"/>
      <c r="L24" s="12"/>
      <c r="M24" s="14"/>
      <c r="O24" s="4"/>
    </row>
    <row r="25" spans="1:15" s="3" customFormat="1" ht="19.5" customHeight="1" x14ac:dyDescent="0.25">
      <c r="A25" s="1"/>
      <c r="B25" s="11" t="s">
        <v>29</v>
      </c>
      <c r="C25" s="12">
        <v>1</v>
      </c>
      <c r="D25" s="12"/>
      <c r="E25" s="12">
        <v>19</v>
      </c>
      <c r="F25" s="12">
        <v>10</v>
      </c>
      <c r="G25" s="12"/>
      <c r="H25" s="13">
        <f t="shared" si="0"/>
        <v>30</v>
      </c>
      <c r="I25" s="27"/>
      <c r="J25" s="32"/>
      <c r="K25" s="12">
        <v>1</v>
      </c>
      <c r="L25" s="12"/>
      <c r="M25" s="14"/>
      <c r="O25" s="4"/>
    </row>
    <row r="26" spans="1:15" s="3" customFormat="1" ht="19.5" customHeight="1" x14ac:dyDescent="0.25">
      <c r="A26" s="1"/>
      <c r="B26" s="11" t="s">
        <v>30</v>
      </c>
      <c r="C26" s="12">
        <v>1</v>
      </c>
      <c r="D26" s="12"/>
      <c r="E26" s="12">
        <v>20</v>
      </c>
      <c r="F26" s="12">
        <v>20</v>
      </c>
      <c r="G26" s="12"/>
      <c r="H26" s="13">
        <f t="shared" si="0"/>
        <v>41</v>
      </c>
      <c r="I26" s="27"/>
      <c r="J26" s="32"/>
      <c r="K26" s="12">
        <v>1</v>
      </c>
      <c r="L26" s="12"/>
      <c r="M26" s="14"/>
      <c r="O26" s="4"/>
    </row>
    <row r="27" spans="1:15" s="3" customFormat="1" ht="19.5" customHeight="1" x14ac:dyDescent="0.25">
      <c r="A27" s="1"/>
      <c r="B27" s="11" t="s">
        <v>31</v>
      </c>
      <c r="C27" s="12">
        <v>1</v>
      </c>
      <c r="D27" s="12"/>
      <c r="E27" s="12">
        <v>29</v>
      </c>
      <c r="F27" s="12">
        <v>12</v>
      </c>
      <c r="G27" s="12"/>
      <c r="H27" s="13">
        <f t="shared" si="0"/>
        <v>42</v>
      </c>
      <c r="I27" s="27"/>
      <c r="J27" s="32"/>
      <c r="K27" s="12">
        <v>1</v>
      </c>
      <c r="L27" s="12"/>
      <c r="M27" s="14"/>
      <c r="O27" s="4"/>
    </row>
    <row r="28" spans="1:15" s="3" customFormat="1" ht="19.5" customHeight="1" x14ac:dyDescent="0.25">
      <c r="A28" s="1"/>
      <c r="B28" s="11" t="s">
        <v>32</v>
      </c>
      <c r="C28" s="12">
        <v>2</v>
      </c>
      <c r="D28" s="12"/>
      <c r="E28" s="12">
        <v>24</v>
      </c>
      <c r="F28" s="12">
        <v>18</v>
      </c>
      <c r="G28" s="12"/>
      <c r="H28" s="13">
        <f t="shared" si="0"/>
        <v>44</v>
      </c>
      <c r="I28" s="27"/>
      <c r="J28" s="32"/>
      <c r="K28" s="12">
        <v>1</v>
      </c>
      <c r="L28" s="12"/>
      <c r="M28" s="14"/>
      <c r="O28" s="4"/>
    </row>
    <row r="29" spans="1:15" s="3" customFormat="1" ht="19.5" customHeight="1" x14ac:dyDescent="0.25">
      <c r="A29" s="1"/>
      <c r="B29" s="11" t="s">
        <v>33</v>
      </c>
      <c r="C29" s="12">
        <v>1</v>
      </c>
      <c r="D29" s="12"/>
      <c r="E29" s="12">
        <v>24</v>
      </c>
      <c r="F29" s="12">
        <v>10</v>
      </c>
      <c r="G29" s="12"/>
      <c r="H29" s="13">
        <f t="shared" si="0"/>
        <v>35</v>
      </c>
      <c r="I29" s="27"/>
      <c r="J29" s="32"/>
      <c r="K29" s="12">
        <v>1</v>
      </c>
      <c r="L29" s="12"/>
      <c r="M29" s="14"/>
      <c r="O29" s="4"/>
    </row>
    <row r="30" spans="1:15" s="3" customFormat="1" ht="19.5" customHeight="1" x14ac:dyDescent="0.25">
      <c r="A30" s="1"/>
      <c r="B30" s="11" t="s">
        <v>34</v>
      </c>
      <c r="C30" s="12">
        <v>1</v>
      </c>
      <c r="D30" s="12"/>
      <c r="E30" s="12">
        <v>19</v>
      </c>
      <c r="F30" s="12">
        <v>4</v>
      </c>
      <c r="G30" s="12"/>
      <c r="H30" s="13">
        <f t="shared" si="0"/>
        <v>24</v>
      </c>
      <c r="I30" s="27"/>
      <c r="J30" s="32"/>
      <c r="K30" s="12">
        <v>1</v>
      </c>
      <c r="L30" s="12"/>
      <c r="M30" s="14"/>
      <c r="O30" s="4"/>
    </row>
    <row r="31" spans="1:15" s="3" customFormat="1" ht="19.5" customHeight="1" x14ac:dyDescent="0.25">
      <c r="A31" s="1"/>
      <c r="B31" s="11" t="s">
        <v>35</v>
      </c>
      <c r="C31" s="12"/>
      <c r="D31" s="12"/>
      <c r="E31" s="12">
        <v>7</v>
      </c>
      <c r="F31" s="12">
        <v>8</v>
      </c>
      <c r="G31" s="12"/>
      <c r="H31" s="13">
        <f t="shared" si="0"/>
        <v>15</v>
      </c>
      <c r="I31" s="27"/>
      <c r="J31" s="32"/>
      <c r="K31" s="12">
        <v>1</v>
      </c>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7</v>
      </c>
    </row>
    <row r="36" spans="1:16" x14ac:dyDescent="0.25">
      <c r="B36" s="64"/>
      <c r="C36" s="22">
        <f t="shared" ref="C36:M36" si="1">SUM(C10:C33)</f>
        <v>7</v>
      </c>
      <c r="D36" s="22">
        <f t="shared" si="1"/>
        <v>0</v>
      </c>
      <c r="E36" s="22">
        <f t="shared" si="1"/>
        <v>142</v>
      </c>
      <c r="F36" s="22">
        <f t="shared" si="1"/>
        <v>82</v>
      </c>
      <c r="G36" s="22">
        <f t="shared" si="1"/>
        <v>0</v>
      </c>
      <c r="H36" s="22">
        <f t="shared" si="1"/>
        <v>231</v>
      </c>
      <c r="I36" s="29">
        <f t="shared" si="1"/>
        <v>0</v>
      </c>
      <c r="J36" s="35">
        <f t="shared" si="1"/>
        <v>0</v>
      </c>
      <c r="K36" s="22">
        <f t="shared" si="1"/>
        <v>7</v>
      </c>
      <c r="L36" s="22">
        <f t="shared" si="1"/>
        <v>0</v>
      </c>
      <c r="M36" s="23">
        <f t="shared" si="1"/>
        <v>0</v>
      </c>
    </row>
    <row r="37" spans="1:16" ht="15.75" thickBot="1" x14ac:dyDescent="0.3">
      <c r="B37" s="65"/>
      <c r="C37" s="16">
        <f>((C36*100)/$H$36)/100</f>
        <v>3.0303030303030304E-2</v>
      </c>
      <c r="D37" s="16">
        <f t="shared" ref="D37:I37" si="2">((D36*100)/$H$36)/100</f>
        <v>0</v>
      </c>
      <c r="E37" s="16">
        <f t="shared" si="2"/>
        <v>0.61471861471861478</v>
      </c>
      <c r="F37" s="16">
        <f t="shared" si="2"/>
        <v>0.35497835497835495</v>
      </c>
      <c r="G37" s="16">
        <f t="shared" si="2"/>
        <v>0</v>
      </c>
      <c r="H37" s="16">
        <f t="shared" si="2"/>
        <v>1</v>
      </c>
      <c r="I37" s="30">
        <f t="shared" si="2"/>
        <v>0</v>
      </c>
      <c r="J37" s="36">
        <f>((J36*100)/$P$35)/100</f>
        <v>0</v>
      </c>
      <c r="K37" s="17">
        <f>((K36*100)/$P$35)/100</f>
        <v>1</v>
      </c>
      <c r="L37" s="17">
        <f>((L36*100)/$P$35)/100</f>
        <v>0</v>
      </c>
      <c r="M37" s="24">
        <f>((M36*100)/$P$35)/100</f>
        <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2"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46255</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1"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46256</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0"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46196</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9"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60" zoomScaleSheetLayoutView="100" workbookViewId="0"/>
  </sheetViews>
  <sheetFormatPr baseColWidth="10" defaultColWidth="9.140625" defaultRowHeight="15"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60" zoomScaleSheetLayoutView="100" workbookViewId="0"/>
  </sheetViews>
  <sheetFormatPr baseColWidth="10" defaultColWidth="9.140625" defaultRowHeight="15"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60" zoomScaleSheetLayoutView="100" workbookViewId="0"/>
  </sheetViews>
  <sheetFormatPr baseColWidth="10" defaultColWidth="9.140625"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46258</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8"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46259</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32"/>
      <c r="L21" s="12"/>
      <c r="M21" s="14"/>
      <c r="O21" s="4"/>
    </row>
    <row r="22" spans="1:15" s="3" customFormat="1" ht="19.5" customHeight="1" x14ac:dyDescent="0.25">
      <c r="A22" s="1"/>
      <c r="B22" s="11" t="s">
        <v>26</v>
      </c>
      <c r="C22" s="12"/>
      <c r="D22" s="12"/>
      <c r="E22" s="12"/>
      <c r="F22" s="12"/>
      <c r="G22" s="12"/>
      <c r="H22" s="13">
        <f t="shared" si="0"/>
        <v>0</v>
      </c>
      <c r="I22" s="27"/>
      <c r="J22" s="32"/>
      <c r="K22" s="32"/>
      <c r="L22" s="12"/>
      <c r="M22" s="14"/>
      <c r="O22" s="4"/>
    </row>
    <row r="23" spans="1:15" s="3" customFormat="1" ht="19.5" customHeight="1" x14ac:dyDescent="0.25">
      <c r="A23" s="1"/>
      <c r="B23" s="11" t="s">
        <v>27</v>
      </c>
      <c r="C23" s="12"/>
      <c r="D23" s="12"/>
      <c r="E23" s="12"/>
      <c r="F23" s="12"/>
      <c r="G23" s="12"/>
      <c r="H23" s="13">
        <f t="shared" si="0"/>
        <v>0</v>
      </c>
      <c r="I23" s="27"/>
      <c r="J23" s="32"/>
      <c r="K23" s="32"/>
      <c r="L23" s="12"/>
      <c r="M23" s="14"/>
      <c r="O23" s="4"/>
    </row>
    <row r="24" spans="1:15" s="3" customFormat="1" ht="19.5" customHeight="1" x14ac:dyDescent="0.25">
      <c r="A24" s="1"/>
      <c r="B24" s="11" t="s">
        <v>28</v>
      </c>
      <c r="C24" s="12"/>
      <c r="D24" s="12"/>
      <c r="E24" s="12"/>
      <c r="F24" s="12"/>
      <c r="G24" s="12"/>
      <c r="H24" s="13">
        <f t="shared" si="0"/>
        <v>0</v>
      </c>
      <c r="I24" s="27"/>
      <c r="J24" s="32"/>
      <c r="K24" s="32"/>
      <c r="L24" s="12"/>
      <c r="M24" s="14"/>
      <c r="O24" s="4"/>
    </row>
    <row r="25" spans="1:15" s="3" customFormat="1" ht="19.5" customHeight="1" x14ac:dyDescent="0.25">
      <c r="A25" s="1"/>
      <c r="B25" s="11" t="s">
        <v>29</v>
      </c>
      <c r="C25" s="12"/>
      <c r="D25" s="12"/>
      <c r="E25" s="12"/>
      <c r="F25" s="12"/>
      <c r="G25" s="12"/>
      <c r="H25" s="13">
        <f t="shared" si="0"/>
        <v>0</v>
      </c>
      <c r="I25" s="27"/>
      <c r="J25" s="32"/>
      <c r="K25" s="32"/>
      <c r="L25" s="12"/>
      <c r="M25" s="14"/>
      <c r="O25" s="4"/>
    </row>
    <row r="26" spans="1:15" s="3" customFormat="1" ht="19.5" customHeight="1" x14ac:dyDescent="0.25">
      <c r="A26" s="1"/>
      <c r="B26" s="11" t="s">
        <v>30</v>
      </c>
      <c r="C26" s="12"/>
      <c r="D26" s="12"/>
      <c r="E26" s="12"/>
      <c r="F26" s="12"/>
      <c r="G26" s="12"/>
      <c r="H26" s="13">
        <f t="shared" si="0"/>
        <v>0</v>
      </c>
      <c r="I26" s="27"/>
      <c r="J26" s="32"/>
      <c r="K26" s="32"/>
      <c r="L26" s="12"/>
      <c r="M26" s="14"/>
      <c r="O26" s="4"/>
    </row>
    <row r="27" spans="1:15" s="3" customFormat="1" ht="19.5" customHeight="1" x14ac:dyDescent="0.25">
      <c r="A27" s="1"/>
      <c r="B27" s="11" t="s">
        <v>31</v>
      </c>
      <c r="C27" s="12"/>
      <c r="D27" s="12"/>
      <c r="E27" s="12"/>
      <c r="F27" s="12"/>
      <c r="G27" s="12"/>
      <c r="H27" s="13">
        <f t="shared" si="0"/>
        <v>0</v>
      </c>
      <c r="I27" s="27"/>
      <c r="J27" s="32"/>
      <c r="K27" s="32"/>
      <c r="L27" s="12"/>
      <c r="M27" s="14"/>
      <c r="O27" s="4"/>
    </row>
    <row r="28" spans="1:15" s="3" customFormat="1" ht="19.5" customHeight="1" x14ac:dyDescent="0.25">
      <c r="A28" s="1"/>
      <c r="B28" s="11" t="s">
        <v>32</v>
      </c>
      <c r="C28" s="12"/>
      <c r="D28" s="12"/>
      <c r="E28" s="12"/>
      <c r="F28" s="12"/>
      <c r="G28" s="12"/>
      <c r="H28" s="13">
        <f t="shared" si="0"/>
        <v>0</v>
      </c>
      <c r="I28" s="27"/>
      <c r="J28" s="32"/>
      <c r="K28" s="32"/>
      <c r="L28" s="12"/>
      <c r="M28" s="14"/>
      <c r="O28" s="4"/>
    </row>
    <row r="29" spans="1:15" s="3" customFormat="1" ht="19.5" customHeight="1" x14ac:dyDescent="0.25">
      <c r="A29" s="1"/>
      <c r="B29" s="11" t="s">
        <v>33</v>
      </c>
      <c r="C29" s="12"/>
      <c r="D29" s="12"/>
      <c r="E29" s="12"/>
      <c r="F29" s="12"/>
      <c r="G29" s="12"/>
      <c r="H29" s="13">
        <f t="shared" si="0"/>
        <v>0</v>
      </c>
      <c r="I29" s="27"/>
      <c r="J29" s="32"/>
      <c r="K29" s="32"/>
      <c r="L29" s="12"/>
      <c r="M29" s="14"/>
      <c r="O29" s="4"/>
    </row>
    <row r="30" spans="1:15" s="3" customFormat="1" ht="19.5" customHeight="1" x14ac:dyDescent="0.25">
      <c r="A30" s="1"/>
      <c r="B30" s="11" t="s">
        <v>34</v>
      </c>
      <c r="C30" s="12"/>
      <c r="D30" s="12"/>
      <c r="E30" s="12"/>
      <c r="F30" s="12"/>
      <c r="G30" s="12"/>
      <c r="H30" s="13">
        <f t="shared" si="0"/>
        <v>0</v>
      </c>
      <c r="I30" s="27"/>
      <c r="J30" s="32"/>
      <c r="K30" s="32"/>
      <c r="L30" s="12"/>
      <c r="M30" s="14"/>
      <c r="O30" s="4"/>
    </row>
    <row r="31" spans="1:15" s="3" customFormat="1" ht="19.5" customHeight="1" x14ac:dyDescent="0.25">
      <c r="A31" s="1"/>
      <c r="B31" s="11" t="s">
        <v>35</v>
      </c>
      <c r="C31" s="12"/>
      <c r="D31" s="12"/>
      <c r="E31" s="12"/>
      <c r="F31" s="12"/>
      <c r="G31" s="12"/>
      <c r="H31" s="13">
        <f t="shared" si="0"/>
        <v>0</v>
      </c>
      <c r="I31" s="27"/>
      <c r="J31" s="32"/>
      <c r="K31" s="32"/>
      <c r="L31" s="12"/>
      <c r="M31" s="14"/>
      <c r="O31" s="4"/>
    </row>
    <row r="32" spans="1:15" s="3" customFormat="1" ht="19.5" customHeight="1" x14ac:dyDescent="0.25">
      <c r="A32" s="1"/>
      <c r="B32" s="11" t="s">
        <v>36</v>
      </c>
      <c r="C32" s="12"/>
      <c r="D32" s="12"/>
      <c r="E32" s="12"/>
      <c r="F32" s="12"/>
      <c r="G32" s="12"/>
      <c r="H32" s="13">
        <f t="shared" si="0"/>
        <v>0</v>
      </c>
      <c r="I32" s="27"/>
      <c r="J32" s="32"/>
      <c r="K32" s="3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7"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46260</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6"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46261</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5"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46262</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9"/>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4"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46263</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2"/>
      <c r="E33" s="12"/>
      <c r="F33" s="12"/>
      <c r="G33" s="12"/>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3"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5"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46264</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9"/>
      <c r="E33" s="12"/>
      <c r="F33" s="19"/>
      <c r="G33" s="19"/>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2"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7"/>
  <sheetViews>
    <sheetView showGridLines="0" zoomScaleNormal="100" workbookViewId="0">
      <selection activeCell="I10" sqref="I10"/>
    </sheetView>
  </sheetViews>
  <sheetFormatPr baseColWidth="10" defaultColWidth="0" defaultRowHeight="15"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7" customHeight="1" thickBot="1" x14ac:dyDescent="0.3"/>
    <row r="3" spans="1:15" ht="27.75" customHeight="1" thickTop="1" x14ac:dyDescent="0.25">
      <c r="B3" s="55" t="s">
        <v>0</v>
      </c>
      <c r="C3" s="56"/>
      <c r="D3" s="56"/>
      <c r="E3" s="56"/>
      <c r="F3" s="56"/>
      <c r="G3" s="56"/>
      <c r="H3" s="56"/>
      <c r="I3" s="56"/>
      <c r="J3" s="56"/>
      <c r="K3" s="56"/>
      <c r="L3" s="56"/>
      <c r="M3" s="57"/>
    </row>
    <row r="4" spans="1:15" ht="18.75" x14ac:dyDescent="0.25">
      <c r="B4" s="58" t="s">
        <v>1</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66" t="s">
        <v>3</v>
      </c>
      <c r="E6" s="66"/>
      <c r="F6" s="66"/>
      <c r="G6" s="7"/>
      <c r="H6" s="10" t="s">
        <v>4</v>
      </c>
      <c r="I6" s="66">
        <v>46265</v>
      </c>
      <c r="J6" s="66"/>
      <c r="K6" s="66"/>
      <c r="L6" s="7"/>
      <c r="M6" s="8"/>
    </row>
    <row r="7" spans="1:15" x14ac:dyDescent="0.25">
      <c r="B7" s="6"/>
      <c r="C7" s="7"/>
      <c r="D7" s="7"/>
      <c r="E7" s="7"/>
      <c r="F7" s="7"/>
      <c r="G7" s="7"/>
      <c r="H7" s="7"/>
      <c r="I7" s="7"/>
      <c r="J7" s="7"/>
      <c r="K7" s="7"/>
      <c r="L7" s="7"/>
      <c r="M7" s="8"/>
    </row>
    <row r="8" spans="1:15" x14ac:dyDescent="0.25">
      <c r="B8" s="67" t="s">
        <v>5</v>
      </c>
      <c r="C8" s="53" t="s">
        <v>6</v>
      </c>
      <c r="D8" s="53" t="s">
        <v>7</v>
      </c>
      <c r="E8" s="53" t="s">
        <v>8</v>
      </c>
      <c r="F8" s="53" t="s">
        <v>9</v>
      </c>
      <c r="G8" s="53" t="s">
        <v>10</v>
      </c>
      <c r="H8" s="69" t="s">
        <v>11</v>
      </c>
      <c r="I8" s="61" t="s">
        <v>12</v>
      </c>
      <c r="J8" s="73" t="s">
        <v>13</v>
      </c>
      <c r="K8" s="74"/>
      <c r="L8" s="74"/>
      <c r="M8" s="75"/>
    </row>
    <row r="9" spans="1:15" x14ac:dyDescent="0.25">
      <c r="B9" s="68"/>
      <c r="C9" s="54"/>
      <c r="D9" s="54"/>
      <c r="E9" s="54"/>
      <c r="F9" s="54"/>
      <c r="G9" s="54"/>
      <c r="H9" s="70"/>
      <c r="I9" s="62"/>
      <c r="J9" s="31">
        <v>2</v>
      </c>
      <c r="K9" s="25">
        <v>20</v>
      </c>
      <c r="L9" s="25"/>
      <c r="M9" s="26"/>
    </row>
    <row r="10" spans="1:15" s="3" customFormat="1" ht="19.5" customHeight="1" x14ac:dyDescent="0.25">
      <c r="A10" s="1"/>
      <c r="B10" s="11" t="s">
        <v>14</v>
      </c>
      <c r="C10" s="12"/>
      <c r="D10" s="12"/>
      <c r="E10" s="12"/>
      <c r="F10" s="12"/>
      <c r="G10" s="12"/>
      <c r="H10" s="13">
        <f>SUM(C10:G10)</f>
        <v>0</v>
      </c>
      <c r="I10" s="27"/>
      <c r="J10" s="32"/>
      <c r="K10" s="12"/>
      <c r="L10" s="12"/>
      <c r="M10" s="14"/>
      <c r="O10" s="4"/>
    </row>
    <row r="11" spans="1:15" s="3" customFormat="1" ht="19.5" customHeight="1" x14ac:dyDescent="0.25">
      <c r="A11" s="1"/>
      <c r="B11" s="11" t="s">
        <v>15</v>
      </c>
      <c r="C11" s="12"/>
      <c r="D11" s="12"/>
      <c r="E11" s="12"/>
      <c r="F11" s="12"/>
      <c r="G11" s="12"/>
      <c r="H11" s="13">
        <f t="shared" ref="H11:H33" si="0">SUM(C11:G11)</f>
        <v>0</v>
      </c>
      <c r="I11" s="27"/>
      <c r="J11" s="32"/>
      <c r="K11" s="12"/>
      <c r="L11" s="12"/>
      <c r="M11" s="14"/>
      <c r="O11" s="4"/>
    </row>
    <row r="12" spans="1:15" s="3" customFormat="1" ht="19.5" customHeight="1" x14ac:dyDescent="0.25">
      <c r="A12" s="1"/>
      <c r="B12" s="11" t="s">
        <v>16</v>
      </c>
      <c r="C12" s="12"/>
      <c r="D12" s="12"/>
      <c r="E12" s="12"/>
      <c r="F12" s="12"/>
      <c r="G12" s="12"/>
      <c r="H12" s="13">
        <f t="shared" si="0"/>
        <v>0</v>
      </c>
      <c r="I12" s="27"/>
      <c r="J12" s="32"/>
      <c r="K12" s="12"/>
      <c r="L12" s="12"/>
      <c r="M12" s="14"/>
      <c r="O12" s="4"/>
    </row>
    <row r="13" spans="1:15" s="3" customFormat="1" ht="19.5" customHeight="1" x14ac:dyDescent="0.25">
      <c r="A13" s="1"/>
      <c r="B13" s="11" t="s">
        <v>17</v>
      </c>
      <c r="C13" s="12"/>
      <c r="D13" s="12"/>
      <c r="E13" s="12"/>
      <c r="F13" s="12"/>
      <c r="G13" s="12"/>
      <c r="H13" s="13">
        <f t="shared" si="0"/>
        <v>0</v>
      </c>
      <c r="I13" s="27"/>
      <c r="J13" s="32"/>
      <c r="K13" s="12"/>
      <c r="L13" s="12"/>
      <c r="M13" s="14"/>
      <c r="O13" s="4"/>
    </row>
    <row r="14" spans="1:15" s="3" customFormat="1" ht="19.5" customHeight="1" x14ac:dyDescent="0.25">
      <c r="A14" s="1"/>
      <c r="B14" s="11" t="s">
        <v>18</v>
      </c>
      <c r="C14" s="12"/>
      <c r="D14" s="12"/>
      <c r="E14" s="12"/>
      <c r="F14" s="12"/>
      <c r="G14" s="12"/>
      <c r="H14" s="13">
        <f t="shared" si="0"/>
        <v>0</v>
      </c>
      <c r="I14" s="27"/>
      <c r="J14" s="32"/>
      <c r="K14" s="12"/>
      <c r="L14" s="12"/>
      <c r="M14" s="14"/>
      <c r="O14" s="4"/>
    </row>
    <row r="15" spans="1:15" s="3" customFormat="1" ht="19.5" customHeight="1" x14ac:dyDescent="0.25">
      <c r="A15" s="1"/>
      <c r="B15" s="11" t="s">
        <v>19</v>
      </c>
      <c r="C15" s="12"/>
      <c r="D15" s="12"/>
      <c r="E15" s="12"/>
      <c r="F15" s="12" t="s">
        <v>42</v>
      </c>
      <c r="G15" s="12"/>
      <c r="H15" s="13">
        <f t="shared" si="0"/>
        <v>0</v>
      </c>
      <c r="I15" s="27"/>
      <c r="J15" s="32"/>
      <c r="K15" s="12"/>
      <c r="L15" s="12"/>
      <c r="M15" s="14"/>
      <c r="O15" s="4"/>
    </row>
    <row r="16" spans="1:15" s="3" customFormat="1" ht="19.5" customHeight="1" x14ac:dyDescent="0.25">
      <c r="A16" s="1"/>
      <c r="B16" s="11" t="s">
        <v>20</v>
      </c>
      <c r="C16" s="12"/>
      <c r="D16" s="12"/>
      <c r="E16" s="12"/>
      <c r="F16" s="12"/>
      <c r="G16" s="12"/>
      <c r="H16" s="13">
        <f t="shared" si="0"/>
        <v>0</v>
      </c>
      <c r="I16" s="27"/>
      <c r="J16" s="32"/>
      <c r="K16" s="12"/>
      <c r="L16" s="12"/>
      <c r="M16" s="14"/>
      <c r="O16" s="4"/>
    </row>
    <row r="17" spans="1:15" s="3" customFormat="1" ht="19.5" customHeight="1" x14ac:dyDescent="0.25">
      <c r="A17" s="1"/>
      <c r="B17" s="11" t="s">
        <v>21</v>
      </c>
      <c r="C17" s="12"/>
      <c r="D17" s="12"/>
      <c r="E17" s="12"/>
      <c r="F17" s="12"/>
      <c r="G17" s="12"/>
      <c r="H17" s="13">
        <f t="shared" si="0"/>
        <v>0</v>
      </c>
      <c r="I17" s="27"/>
      <c r="J17" s="32"/>
      <c r="K17" s="12"/>
      <c r="L17" s="12"/>
      <c r="M17" s="14"/>
      <c r="O17" s="4"/>
    </row>
    <row r="18" spans="1:15" s="3" customFormat="1" ht="19.5" customHeight="1" x14ac:dyDescent="0.25">
      <c r="A18" s="1"/>
      <c r="B18" s="11" t="s">
        <v>22</v>
      </c>
      <c r="C18" s="12"/>
      <c r="D18" s="12"/>
      <c r="E18" s="12"/>
      <c r="F18" s="12"/>
      <c r="G18" s="12"/>
      <c r="H18" s="13">
        <f t="shared" si="0"/>
        <v>0</v>
      </c>
      <c r="I18" s="27"/>
      <c r="J18" s="32"/>
      <c r="K18" s="12"/>
      <c r="L18" s="12"/>
      <c r="M18" s="14"/>
      <c r="O18" s="4"/>
    </row>
    <row r="19" spans="1:15" s="3" customFormat="1" ht="19.5" customHeight="1" x14ac:dyDescent="0.25">
      <c r="A19" s="1"/>
      <c r="B19" s="11" t="s">
        <v>23</v>
      </c>
      <c r="C19" s="12"/>
      <c r="D19" s="12"/>
      <c r="E19" s="12"/>
      <c r="F19" s="12"/>
      <c r="G19" s="12"/>
      <c r="H19" s="13">
        <f t="shared" si="0"/>
        <v>0</v>
      </c>
      <c r="I19" s="27"/>
      <c r="J19" s="32"/>
      <c r="K19" s="12"/>
      <c r="L19" s="12"/>
      <c r="M19" s="14"/>
      <c r="O19" s="4"/>
    </row>
    <row r="20" spans="1:15" s="3" customFormat="1" ht="19.5" customHeight="1" x14ac:dyDescent="0.25">
      <c r="A20" s="1"/>
      <c r="B20" s="11" t="s">
        <v>24</v>
      </c>
      <c r="C20" s="12"/>
      <c r="D20" s="12"/>
      <c r="E20" s="12"/>
      <c r="F20" s="12"/>
      <c r="G20" s="12"/>
      <c r="H20" s="13">
        <f t="shared" si="0"/>
        <v>0</v>
      </c>
      <c r="I20" s="27"/>
      <c r="J20" s="32"/>
      <c r="K20" s="12"/>
      <c r="L20" s="12"/>
      <c r="M20" s="14"/>
      <c r="O20" s="4"/>
    </row>
    <row r="21" spans="1:15" s="3" customFormat="1" ht="19.5" customHeight="1" x14ac:dyDescent="0.25">
      <c r="A21" s="1"/>
      <c r="B21" s="11" t="s">
        <v>25</v>
      </c>
      <c r="C21" s="12"/>
      <c r="D21" s="12"/>
      <c r="E21" s="12"/>
      <c r="F21" s="12"/>
      <c r="G21" s="12"/>
      <c r="H21" s="13">
        <f t="shared" si="0"/>
        <v>0</v>
      </c>
      <c r="I21" s="27"/>
      <c r="J21" s="32"/>
      <c r="K21" s="12"/>
      <c r="L21" s="12"/>
      <c r="M21" s="14"/>
      <c r="O21" s="4"/>
    </row>
    <row r="22" spans="1:15" s="3" customFormat="1" ht="19.5" customHeight="1" x14ac:dyDescent="0.25">
      <c r="A22" s="1"/>
      <c r="B22" s="11" t="s">
        <v>26</v>
      </c>
      <c r="C22" s="12"/>
      <c r="D22" s="12"/>
      <c r="E22" s="12"/>
      <c r="F22" s="12"/>
      <c r="G22" s="12"/>
      <c r="H22" s="13">
        <f t="shared" si="0"/>
        <v>0</v>
      </c>
      <c r="I22" s="27"/>
      <c r="J22" s="32"/>
      <c r="K22" s="12"/>
      <c r="L22" s="12"/>
      <c r="M22" s="14"/>
      <c r="O22" s="4"/>
    </row>
    <row r="23" spans="1:15" s="3" customFormat="1" ht="19.5" customHeight="1" x14ac:dyDescent="0.25">
      <c r="A23" s="1"/>
      <c r="B23" s="11" t="s">
        <v>27</v>
      </c>
      <c r="C23" s="12"/>
      <c r="D23" s="12"/>
      <c r="E23" s="12"/>
      <c r="F23" s="12"/>
      <c r="G23" s="12"/>
      <c r="H23" s="13">
        <f t="shared" si="0"/>
        <v>0</v>
      </c>
      <c r="I23" s="27"/>
      <c r="J23" s="32"/>
      <c r="K23" s="12"/>
      <c r="L23" s="12"/>
      <c r="M23" s="14"/>
      <c r="O23" s="4"/>
    </row>
    <row r="24" spans="1:15" s="3" customFormat="1" ht="19.5" customHeight="1" x14ac:dyDescent="0.25">
      <c r="A24" s="1"/>
      <c r="B24" s="11" t="s">
        <v>28</v>
      </c>
      <c r="C24" s="12"/>
      <c r="D24" s="12"/>
      <c r="E24" s="12"/>
      <c r="F24" s="12"/>
      <c r="G24" s="12"/>
      <c r="H24" s="13">
        <f t="shared" si="0"/>
        <v>0</v>
      </c>
      <c r="I24" s="27"/>
      <c r="J24" s="32"/>
      <c r="K24" s="12"/>
      <c r="L24" s="12"/>
      <c r="M24" s="14"/>
      <c r="O24" s="4"/>
    </row>
    <row r="25" spans="1:15" s="3" customFormat="1" ht="19.5" customHeight="1" x14ac:dyDescent="0.25">
      <c r="A25" s="1"/>
      <c r="B25" s="11" t="s">
        <v>29</v>
      </c>
      <c r="C25" s="12"/>
      <c r="D25" s="12"/>
      <c r="E25" s="12"/>
      <c r="F25" s="12"/>
      <c r="G25" s="12"/>
      <c r="H25" s="13">
        <f t="shared" si="0"/>
        <v>0</v>
      </c>
      <c r="I25" s="27"/>
      <c r="J25" s="32"/>
      <c r="K25" s="12"/>
      <c r="L25" s="12"/>
      <c r="M25" s="14"/>
      <c r="O25" s="4"/>
    </row>
    <row r="26" spans="1:15" s="3" customFormat="1" ht="19.5" customHeight="1" x14ac:dyDescent="0.25">
      <c r="A26" s="1"/>
      <c r="B26" s="11" t="s">
        <v>30</v>
      </c>
      <c r="C26" s="12"/>
      <c r="D26" s="12"/>
      <c r="E26" s="12"/>
      <c r="F26" s="12"/>
      <c r="G26" s="12"/>
      <c r="H26" s="13">
        <f t="shared" si="0"/>
        <v>0</v>
      </c>
      <c r="I26" s="27"/>
      <c r="J26" s="32"/>
      <c r="K26" s="12"/>
      <c r="L26" s="12"/>
      <c r="M26" s="14"/>
      <c r="O26" s="4"/>
    </row>
    <row r="27" spans="1:15" s="3" customFormat="1" ht="19.5" customHeight="1" x14ac:dyDescent="0.25">
      <c r="A27" s="1"/>
      <c r="B27" s="11" t="s">
        <v>31</v>
      </c>
      <c r="C27" s="12"/>
      <c r="D27" s="12"/>
      <c r="E27" s="12"/>
      <c r="F27" s="12"/>
      <c r="G27" s="12"/>
      <c r="H27" s="13">
        <f t="shared" si="0"/>
        <v>0</v>
      </c>
      <c r="I27" s="27"/>
      <c r="J27" s="32"/>
      <c r="K27" s="12"/>
      <c r="L27" s="12"/>
      <c r="M27" s="14"/>
      <c r="O27" s="4"/>
    </row>
    <row r="28" spans="1:15" s="3" customFormat="1" ht="19.5" customHeight="1" x14ac:dyDescent="0.25">
      <c r="A28" s="1"/>
      <c r="B28" s="11" t="s">
        <v>32</v>
      </c>
      <c r="C28" s="12"/>
      <c r="D28" s="12"/>
      <c r="E28" s="12"/>
      <c r="F28" s="12"/>
      <c r="G28" s="12"/>
      <c r="H28" s="13">
        <f t="shared" si="0"/>
        <v>0</v>
      </c>
      <c r="I28" s="27"/>
      <c r="J28" s="32"/>
      <c r="K28" s="12"/>
      <c r="L28" s="12"/>
      <c r="M28" s="14"/>
      <c r="O28" s="4"/>
    </row>
    <row r="29" spans="1:15" s="3" customFormat="1" ht="19.5" customHeight="1" x14ac:dyDescent="0.25">
      <c r="A29" s="1"/>
      <c r="B29" s="11" t="s">
        <v>33</v>
      </c>
      <c r="C29" s="12"/>
      <c r="D29" s="12"/>
      <c r="E29" s="12"/>
      <c r="F29" s="12"/>
      <c r="G29" s="12"/>
      <c r="H29" s="13">
        <f t="shared" si="0"/>
        <v>0</v>
      </c>
      <c r="I29" s="27"/>
      <c r="J29" s="32"/>
      <c r="K29" s="12"/>
      <c r="L29" s="12"/>
      <c r="M29" s="14"/>
      <c r="O29" s="4"/>
    </row>
    <row r="30" spans="1:15" s="3" customFormat="1" ht="19.5" customHeight="1" x14ac:dyDescent="0.25">
      <c r="A30" s="1"/>
      <c r="B30" s="11" t="s">
        <v>34</v>
      </c>
      <c r="C30" s="12"/>
      <c r="D30" s="12"/>
      <c r="E30" s="12"/>
      <c r="F30" s="12"/>
      <c r="G30" s="12"/>
      <c r="H30" s="13">
        <f t="shared" si="0"/>
        <v>0</v>
      </c>
      <c r="I30" s="27"/>
      <c r="J30" s="32"/>
      <c r="K30" s="12"/>
      <c r="L30" s="12"/>
      <c r="M30" s="14"/>
      <c r="O30" s="4"/>
    </row>
    <row r="31" spans="1:15" s="3" customFormat="1" ht="19.5" customHeight="1" x14ac:dyDescent="0.25">
      <c r="A31" s="1"/>
      <c r="B31" s="11" t="s">
        <v>35</v>
      </c>
      <c r="C31" s="12"/>
      <c r="D31" s="12"/>
      <c r="E31" s="12"/>
      <c r="F31" s="12"/>
      <c r="G31" s="12"/>
      <c r="H31" s="13">
        <f t="shared" si="0"/>
        <v>0</v>
      </c>
      <c r="I31" s="27"/>
      <c r="J31" s="32"/>
      <c r="K31" s="12"/>
      <c r="L31" s="12"/>
      <c r="M31" s="14"/>
      <c r="O31" s="4"/>
    </row>
    <row r="32" spans="1:15" s="3" customFormat="1" ht="19.5" customHeight="1" x14ac:dyDescent="0.25">
      <c r="A32" s="1"/>
      <c r="B32" s="11" t="s">
        <v>36</v>
      </c>
      <c r="C32" s="12"/>
      <c r="D32" s="12"/>
      <c r="E32" s="12"/>
      <c r="F32" s="12"/>
      <c r="G32" s="12"/>
      <c r="H32" s="13">
        <f t="shared" si="0"/>
        <v>0</v>
      </c>
      <c r="I32" s="27"/>
      <c r="J32" s="32"/>
      <c r="K32" s="12"/>
      <c r="L32" s="12"/>
      <c r="M32" s="14"/>
      <c r="O32" s="4"/>
    </row>
    <row r="33" spans="1:16" s="3" customFormat="1" ht="19.5" customHeight="1" thickBot="1" x14ac:dyDescent="0.3">
      <c r="A33" s="1"/>
      <c r="B33" s="18" t="s">
        <v>37</v>
      </c>
      <c r="C33" s="19"/>
      <c r="D33" s="12"/>
      <c r="E33" s="12"/>
      <c r="F33" s="12"/>
      <c r="G33" s="12"/>
      <c r="H33" s="20">
        <f t="shared" si="0"/>
        <v>0</v>
      </c>
      <c r="I33" s="28"/>
      <c r="J33" s="33"/>
      <c r="K33" s="19"/>
      <c r="L33" s="19"/>
      <c r="M33" s="21"/>
      <c r="O33" s="4"/>
      <c r="P33" s="3" t="s">
        <v>38</v>
      </c>
    </row>
    <row r="34" spans="1:16" ht="15.75" thickTop="1" x14ac:dyDescent="0.25">
      <c r="B34" s="63" t="s">
        <v>39</v>
      </c>
      <c r="C34" s="51" t="s">
        <v>6</v>
      </c>
      <c r="D34" s="51" t="s">
        <v>7</v>
      </c>
      <c r="E34" s="51" t="s">
        <v>8</v>
      </c>
      <c r="F34" s="51" t="s">
        <v>9</v>
      </c>
      <c r="G34" s="51" t="s">
        <v>10</v>
      </c>
      <c r="H34" s="71" t="s">
        <v>11</v>
      </c>
      <c r="I34" s="78" t="s">
        <v>12</v>
      </c>
      <c r="J34" s="76" t="s">
        <v>13</v>
      </c>
      <c r="K34" s="51"/>
      <c r="L34" s="51"/>
      <c r="M34" s="77"/>
      <c r="P34" s="1" t="s">
        <v>40</v>
      </c>
    </row>
    <row r="35" spans="1:16" x14ac:dyDescent="0.25">
      <c r="B35" s="64"/>
      <c r="C35" s="52"/>
      <c r="D35" s="52"/>
      <c r="E35" s="52"/>
      <c r="F35" s="52"/>
      <c r="G35" s="52"/>
      <c r="H35" s="72"/>
      <c r="I35" s="79"/>
      <c r="J35" s="34">
        <f>J9</f>
        <v>2</v>
      </c>
      <c r="K35" s="48">
        <f>K9</f>
        <v>20</v>
      </c>
      <c r="L35" s="48">
        <f>L9</f>
        <v>0</v>
      </c>
      <c r="M35" s="15">
        <f>M9</f>
        <v>0</v>
      </c>
      <c r="P35" s="1">
        <f>SUM(J36:M36)</f>
        <v>0</v>
      </c>
    </row>
    <row r="36" spans="1:16" x14ac:dyDescent="0.25">
      <c r="B36" s="64"/>
      <c r="C36" s="22">
        <f t="shared" ref="C36:M36" si="1">SUM(C10:C33)</f>
        <v>0</v>
      </c>
      <c r="D36" s="22">
        <f t="shared" si="1"/>
        <v>0</v>
      </c>
      <c r="E36" s="22">
        <f t="shared" si="1"/>
        <v>0</v>
      </c>
      <c r="F36" s="22">
        <f t="shared" si="1"/>
        <v>0</v>
      </c>
      <c r="G36" s="22">
        <f t="shared" si="1"/>
        <v>0</v>
      </c>
      <c r="H36" s="22">
        <f t="shared" si="1"/>
        <v>0</v>
      </c>
      <c r="I36" s="29">
        <f t="shared" si="1"/>
        <v>0</v>
      </c>
      <c r="J36" s="35">
        <f t="shared" si="1"/>
        <v>0</v>
      </c>
      <c r="K36" s="22">
        <f t="shared" si="1"/>
        <v>0</v>
      </c>
      <c r="L36" s="22">
        <f t="shared" si="1"/>
        <v>0</v>
      </c>
      <c r="M36" s="23">
        <f t="shared" si="1"/>
        <v>0</v>
      </c>
    </row>
    <row r="37" spans="1:16" ht="15.75" thickBot="1" x14ac:dyDescent="0.3">
      <c r="B37" s="65"/>
      <c r="C37" s="16" t="e">
        <f>((C36*100)/$H$36)/100</f>
        <v>#DIV/0!</v>
      </c>
      <c r="D37" s="16" t="e">
        <f t="shared" ref="D37:I37" si="2">((D36*100)/$H$36)/100</f>
        <v>#DIV/0!</v>
      </c>
      <c r="E37" s="16" t="e">
        <f t="shared" si="2"/>
        <v>#DIV/0!</v>
      </c>
      <c r="F37" s="16" t="e">
        <f t="shared" si="2"/>
        <v>#DIV/0!</v>
      </c>
      <c r="G37" s="16" t="e">
        <f t="shared" si="2"/>
        <v>#DIV/0!</v>
      </c>
      <c r="H37" s="16" t="e">
        <f t="shared" si="2"/>
        <v>#DIV/0!</v>
      </c>
      <c r="I37" s="30" t="e">
        <f t="shared" si="2"/>
        <v>#DIV/0!</v>
      </c>
      <c r="J37" s="36" t="e">
        <f>((J36*100)/$P$35)/100</f>
        <v>#DIV/0!</v>
      </c>
      <c r="K37" s="17" t="e">
        <f>((K36*100)/$P$35)/100</f>
        <v>#DIV/0!</v>
      </c>
      <c r="L37" s="17" t="e">
        <f>((L36*100)/$P$35)/100</f>
        <v>#DIV/0!</v>
      </c>
      <c r="M37" s="24" t="e">
        <f>((M36*100)/$P$35)/100</f>
        <v>#DIV/0!</v>
      </c>
    </row>
    <row r="38" spans="1:16" ht="15.75" thickTop="1" x14ac:dyDescent="0.25"/>
    <row r="39" spans="1:16" x14ac:dyDescent="0.25"/>
    <row r="40" spans="1:16" x14ac:dyDescent="0.25"/>
    <row r="41" spans="1:16" x14ac:dyDescent="0.25"/>
    <row r="42" spans="1:16" x14ac:dyDescent="0.25"/>
    <row r="43" spans="1:16" x14ac:dyDescent="0.25">
      <c r="F43" s="5"/>
      <c r="G43" s="5"/>
      <c r="H43" s="5"/>
      <c r="I43" s="5"/>
    </row>
    <row r="44" spans="1:16" x14ac:dyDescent="0.25">
      <c r="F44" s="50" t="s">
        <v>41</v>
      </c>
      <c r="G44" s="50"/>
      <c r="H44" s="50"/>
      <c r="I44" s="50"/>
    </row>
    <row r="45" spans="1:16" x14ac:dyDescent="0.25"/>
    <row r="46" spans="1:16" x14ac:dyDescent="0.25"/>
    <row r="47" spans="1:16" x14ac:dyDescent="0.25"/>
  </sheetData>
  <sheetProtection password="DE06" sheet="1" objects="1" scenarios="1" selectLockedCells="1"/>
  <mergeCells count="23">
    <mergeCell ref="B3:M3"/>
    <mergeCell ref="B4:M4"/>
    <mergeCell ref="D6:F6"/>
    <mergeCell ref="I6:K6"/>
    <mergeCell ref="B34:B37"/>
    <mergeCell ref="B8:B9"/>
    <mergeCell ref="J8:M8"/>
    <mergeCell ref="J34:M34"/>
    <mergeCell ref="F44:I44"/>
    <mergeCell ref="H8:H9"/>
    <mergeCell ref="I8:I9"/>
    <mergeCell ref="C8:C9"/>
    <mergeCell ref="D8:D9"/>
    <mergeCell ref="E8:E9"/>
    <mergeCell ref="E34:E35"/>
    <mergeCell ref="F8:F9"/>
    <mergeCell ref="I34:I35"/>
    <mergeCell ref="G34:G35"/>
    <mergeCell ref="H34:H35"/>
    <mergeCell ref="G8:G9"/>
    <mergeCell ref="F34:F35"/>
    <mergeCell ref="C34:C35"/>
    <mergeCell ref="D34:D35"/>
  </mergeCells>
  <phoneticPr fontId="0" type="noConversion"/>
  <conditionalFormatting sqref="J37:M37">
    <cfRule type="cellIs" dxfId="1"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6" orientation="portrait" verticalDpi="599" r:id="rId1"/>
  <headerFooter>
    <oddFooter>&amp;LFecha de impresión: &amp;D&amp;RREV.0&amp;P/&amp;N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3"/>
  <sheetViews>
    <sheetView showGridLines="0" topLeftCell="A4" zoomScaleNormal="100" workbookViewId="0">
      <selection activeCell="I6" sqref="I6:K6"/>
    </sheetView>
  </sheetViews>
  <sheetFormatPr baseColWidth="10" defaultColWidth="0" defaultRowHeight="15" customHeight="1" zeroHeight="1" x14ac:dyDescent="0.25"/>
  <cols>
    <col min="1" max="1" width="0.7109375" style="1" customWidth="1"/>
    <col min="2" max="2" width="16.5703125" style="1" bestFit="1" customWidth="1"/>
    <col min="3" max="6" width="11.42578125" style="1" customWidth="1"/>
    <col min="7" max="7" width="12.5703125" style="1" bestFit="1" customWidth="1"/>
    <col min="8" max="8" width="12.5703125" style="1" customWidth="1"/>
    <col min="9" max="9" width="11.42578125" style="1" customWidth="1"/>
    <col min="10" max="10" width="8.42578125" style="1" bestFit="1" customWidth="1"/>
    <col min="11" max="11" width="12" style="1" bestFit="1" customWidth="1"/>
    <col min="12" max="13" width="8.42578125" style="1" bestFit="1" customWidth="1"/>
    <col min="14" max="14" width="1" style="1" customWidth="1"/>
    <col min="15" max="15" width="11.42578125" style="2" hidden="1" customWidth="1"/>
    <col min="16" max="16" width="10.28515625" style="1" hidden="1" customWidth="1"/>
    <col min="17" max="16384" width="11.42578125" style="1" hidden="1"/>
  </cols>
  <sheetData>
    <row r="1" spans="1:15" x14ac:dyDescent="0.25"/>
    <row r="2" spans="1:15" ht="24.75" customHeight="1" thickBot="1" x14ac:dyDescent="0.3"/>
    <row r="3" spans="1:15" ht="27" customHeight="1" thickTop="1" x14ac:dyDescent="0.25">
      <c r="B3" s="55" t="s">
        <v>0</v>
      </c>
      <c r="C3" s="56"/>
      <c r="D3" s="56"/>
      <c r="E3" s="56"/>
      <c r="F3" s="56"/>
      <c r="G3" s="56"/>
      <c r="H3" s="56"/>
      <c r="I3" s="56"/>
      <c r="J3" s="56"/>
      <c r="K3" s="56"/>
      <c r="L3" s="56"/>
      <c r="M3" s="57"/>
    </row>
    <row r="4" spans="1:15" ht="18.75" x14ac:dyDescent="0.25">
      <c r="B4" s="58" t="s">
        <v>43</v>
      </c>
      <c r="C4" s="59"/>
      <c r="D4" s="59"/>
      <c r="E4" s="59"/>
      <c r="F4" s="59"/>
      <c r="G4" s="59"/>
      <c r="H4" s="59"/>
      <c r="I4" s="59"/>
      <c r="J4" s="59"/>
      <c r="K4" s="59"/>
      <c r="L4" s="59"/>
      <c r="M4" s="60"/>
    </row>
    <row r="5" spans="1:15" ht="21" customHeight="1" x14ac:dyDescent="0.25">
      <c r="B5" s="6"/>
      <c r="C5" s="7"/>
      <c r="D5" s="7"/>
      <c r="E5" s="7"/>
      <c r="F5" s="7"/>
      <c r="G5" s="7"/>
      <c r="H5" s="7"/>
      <c r="I5" s="7"/>
      <c r="J5" s="7"/>
      <c r="K5" s="7"/>
      <c r="L5" s="7"/>
      <c r="M5" s="8"/>
    </row>
    <row r="6" spans="1:15" ht="15.75" thickBot="1" x14ac:dyDescent="0.3">
      <c r="B6" s="6"/>
      <c r="C6" s="9" t="s">
        <v>2</v>
      </c>
      <c r="D6" s="83" t="s">
        <v>3</v>
      </c>
      <c r="E6" s="83"/>
      <c r="F6" s="83"/>
      <c r="G6" s="7"/>
      <c r="H6" s="10" t="s">
        <v>44</v>
      </c>
      <c r="I6" s="83" t="s">
        <v>49</v>
      </c>
      <c r="J6" s="83"/>
      <c r="K6" s="83"/>
      <c r="L6" s="7"/>
      <c r="M6" s="8"/>
    </row>
    <row r="7" spans="1:15" x14ac:dyDescent="0.25">
      <c r="B7" s="6"/>
      <c r="C7" s="7"/>
      <c r="D7" s="7"/>
      <c r="E7" s="7"/>
      <c r="F7" s="7"/>
      <c r="G7" s="7"/>
      <c r="H7" s="7"/>
      <c r="I7" s="7"/>
      <c r="J7" s="7"/>
      <c r="K7" s="7"/>
      <c r="L7" s="7"/>
      <c r="M7" s="8"/>
    </row>
    <row r="8" spans="1:15" x14ac:dyDescent="0.25">
      <c r="B8" s="84" t="s">
        <v>45</v>
      </c>
      <c r="C8" s="82" t="s">
        <v>6</v>
      </c>
      <c r="D8" s="82" t="s">
        <v>7</v>
      </c>
      <c r="E8" s="82" t="s">
        <v>8</v>
      </c>
      <c r="F8" s="82" t="s">
        <v>9</v>
      </c>
      <c r="G8" s="82" t="s">
        <v>10</v>
      </c>
      <c r="H8" s="80" t="s">
        <v>11</v>
      </c>
      <c r="I8" s="81" t="s">
        <v>12</v>
      </c>
      <c r="J8" s="85" t="s">
        <v>13</v>
      </c>
      <c r="K8" s="86"/>
      <c r="L8" s="86"/>
      <c r="M8" s="87"/>
    </row>
    <row r="9" spans="1:15" x14ac:dyDescent="0.25">
      <c r="B9" s="68"/>
      <c r="C9" s="54"/>
      <c r="D9" s="54"/>
      <c r="E9" s="54"/>
      <c r="F9" s="54"/>
      <c r="G9" s="54"/>
      <c r="H9" s="70"/>
      <c r="I9" s="62"/>
      <c r="J9" s="37">
        <v>2</v>
      </c>
      <c r="K9" s="38">
        <v>20</v>
      </c>
      <c r="L9" s="38"/>
      <c r="M9" s="39"/>
    </row>
    <row r="10" spans="1:15" s="3" customFormat="1" ht="19.5" customHeight="1" x14ac:dyDescent="0.25">
      <c r="A10" s="1"/>
      <c r="B10" s="40">
        <v>1</v>
      </c>
      <c r="C10" s="41">
        <f>SUM('1'!C10:C33)</f>
        <v>0</v>
      </c>
      <c r="D10" s="41">
        <f>SUM('1'!D10:D33)</f>
        <v>0</v>
      </c>
      <c r="E10" s="41">
        <f>SUM('1'!E10:E33)</f>
        <v>172</v>
      </c>
      <c r="F10" s="41">
        <f>SUM('1'!F10:F33)</f>
        <v>74</v>
      </c>
      <c r="G10" s="41">
        <f>SUM('1'!G10:G33)</f>
        <v>1</v>
      </c>
      <c r="H10" s="42">
        <f>SUM(C10:G10)</f>
        <v>247</v>
      </c>
      <c r="I10" s="41">
        <f>SUM('1'!I10:I33)</f>
        <v>2</v>
      </c>
      <c r="J10" s="41">
        <f>SUM('1'!J10:J33)</f>
        <v>0</v>
      </c>
      <c r="K10" s="41">
        <f>SUM('1'!K10:K33)</f>
        <v>11</v>
      </c>
      <c r="L10" s="41"/>
      <c r="M10" s="43"/>
      <c r="O10" s="4"/>
    </row>
    <row r="11" spans="1:15" s="3" customFormat="1" ht="19.5" customHeight="1" x14ac:dyDescent="0.25">
      <c r="A11" s="1"/>
      <c r="B11" s="40">
        <v>2</v>
      </c>
      <c r="C11" s="41">
        <f>SUM('2'!C10:C33)</f>
        <v>0</v>
      </c>
      <c r="D11" s="41">
        <f>SUM('2'!D10:D33)</f>
        <v>0</v>
      </c>
      <c r="E11" s="41">
        <f>SUM('2'!E10:E33)</f>
        <v>50</v>
      </c>
      <c r="F11" s="41">
        <f>SUM('2'!F10:F33)</f>
        <v>38</v>
      </c>
      <c r="G11" s="41">
        <f>SUM('2'!G10:G33)</f>
        <v>0</v>
      </c>
      <c r="H11" s="42">
        <f t="shared" ref="H11:H40" si="0">SUM(C11:G11)</f>
        <v>88</v>
      </c>
      <c r="I11" s="41">
        <f>SUM('2'!I10:I33)</f>
        <v>0</v>
      </c>
      <c r="J11" s="41">
        <f>SUM('2'!J10:J33)</f>
        <v>5</v>
      </c>
      <c r="K11" s="41">
        <f>SUM('2'!K10:K33)</f>
        <v>0</v>
      </c>
      <c r="L11" s="41"/>
      <c r="M11" s="43"/>
      <c r="O11" s="4"/>
    </row>
    <row r="12" spans="1:15" s="3" customFormat="1" ht="19.5" customHeight="1" x14ac:dyDescent="0.25">
      <c r="A12" s="1"/>
      <c r="B12" s="40">
        <v>3</v>
      </c>
      <c r="C12" s="41">
        <f>SUM('3'!C10:C33)</f>
        <v>0</v>
      </c>
      <c r="D12" s="41">
        <f>SUM('3'!D10:D33)</f>
        <v>0</v>
      </c>
      <c r="E12" s="41">
        <f>SUM('3'!E10:E33)</f>
        <v>17</v>
      </c>
      <c r="F12" s="41">
        <f>SUM('3'!F10:F33)</f>
        <v>76</v>
      </c>
      <c r="G12" s="41">
        <f>SUM('3'!G10:G33)</f>
        <v>0</v>
      </c>
      <c r="H12" s="42">
        <f t="shared" si="0"/>
        <v>93</v>
      </c>
      <c r="I12" s="41">
        <f>SUM('3'!I10:I33)</f>
        <v>0</v>
      </c>
      <c r="J12" s="41">
        <f>SUM('3'!J10:J33)</f>
        <v>0</v>
      </c>
      <c r="K12" s="41">
        <f>SUM('3'!K10:K33)</f>
        <v>5</v>
      </c>
      <c r="L12" s="41"/>
      <c r="M12" s="43"/>
      <c r="O12" s="4"/>
    </row>
    <row r="13" spans="1:15" s="3" customFormat="1" ht="19.5" customHeight="1" x14ac:dyDescent="0.25">
      <c r="A13" s="1"/>
      <c r="B13" s="40">
        <v>4</v>
      </c>
      <c r="C13" s="41">
        <f>SUM('4'!C10:C33)</f>
        <v>0</v>
      </c>
      <c r="D13" s="41">
        <f>SUM('4'!D10:D33)</f>
        <v>0</v>
      </c>
      <c r="E13" s="41">
        <f>SUM('4'!E10:E33)</f>
        <v>28</v>
      </c>
      <c r="F13" s="41">
        <f>SUM('4'!F10:F33)</f>
        <v>36</v>
      </c>
      <c r="G13" s="41">
        <f>SUM('4'!G10:G33)</f>
        <v>1</v>
      </c>
      <c r="H13" s="42">
        <f t="shared" si="0"/>
        <v>65</v>
      </c>
      <c r="I13" s="41">
        <f>SUM('4'!I10:I33)</f>
        <v>0</v>
      </c>
      <c r="J13" s="41">
        <f>SUM('4'!J10:J33)</f>
        <v>1</v>
      </c>
      <c r="K13" s="41">
        <f>SUM('4'!K10:K33)</f>
        <v>2</v>
      </c>
      <c r="L13" s="41"/>
      <c r="M13" s="43"/>
      <c r="O13" s="4"/>
    </row>
    <row r="14" spans="1:15" s="3" customFormat="1" ht="19.5" customHeight="1" x14ac:dyDescent="0.25">
      <c r="A14" s="1"/>
      <c r="B14" s="40">
        <v>5</v>
      </c>
      <c r="C14" s="41">
        <f>SUM('5'!C10:C33)</f>
        <v>0</v>
      </c>
      <c r="D14" s="41">
        <f>SUM('5'!D10:D33)</f>
        <v>0</v>
      </c>
      <c r="E14" s="41">
        <f>SUM('5'!E10:E33)</f>
        <v>50</v>
      </c>
      <c r="F14" s="41">
        <f>SUM('5'!F10:F33)</f>
        <v>84</v>
      </c>
      <c r="G14" s="41">
        <f>SUM('5'!G10:G33)</f>
        <v>0</v>
      </c>
      <c r="H14" s="42">
        <f t="shared" si="0"/>
        <v>134</v>
      </c>
      <c r="I14" s="41">
        <f>SUM('5'!I10:I33)</f>
        <v>0</v>
      </c>
      <c r="J14" s="41">
        <f>SUM('5'!J10:J33)</f>
        <v>0</v>
      </c>
      <c r="K14" s="41">
        <f>SUM('5'!K10:K33)</f>
        <v>6</v>
      </c>
      <c r="L14" s="41"/>
      <c r="M14" s="43"/>
      <c r="O14" s="4"/>
    </row>
    <row r="15" spans="1:15" s="3" customFormat="1" ht="19.5" customHeight="1" x14ac:dyDescent="0.25">
      <c r="A15" s="1"/>
      <c r="B15" s="40">
        <v>6</v>
      </c>
      <c r="C15" s="41">
        <f>SUM('6'!C10:C33)</f>
        <v>0</v>
      </c>
      <c r="D15" s="41">
        <f>SUM('6'!D10:D33)</f>
        <v>0</v>
      </c>
      <c r="E15" s="41">
        <f>SUM('6'!E10:E33)</f>
        <v>2</v>
      </c>
      <c r="F15" s="41">
        <f>SUM('6'!F10:F33)</f>
        <v>0</v>
      </c>
      <c r="G15" s="41">
        <f>SUM('6'!G10:G33)</f>
        <v>0</v>
      </c>
      <c r="H15" s="42">
        <f t="shared" si="0"/>
        <v>2</v>
      </c>
      <c r="I15" s="41">
        <f>SUM('6'!I10:I33)</f>
        <v>0</v>
      </c>
      <c r="J15" s="41">
        <f>SUM('6'!J10:J33)</f>
        <v>0</v>
      </c>
      <c r="K15" s="41">
        <f>SUM('6'!K10:K33)</f>
        <v>2</v>
      </c>
      <c r="L15" s="41"/>
      <c r="M15" s="43"/>
      <c r="O15" s="4"/>
    </row>
    <row r="16" spans="1:15" s="3" customFormat="1" ht="19.5" customHeight="1" x14ac:dyDescent="0.25">
      <c r="A16" s="1"/>
      <c r="B16" s="40">
        <v>7</v>
      </c>
      <c r="C16" s="41">
        <f>SUM('7'!C10:C33)</f>
        <v>0</v>
      </c>
      <c r="D16" s="41">
        <f>SUM('7'!D10:D33)</f>
        <v>0</v>
      </c>
      <c r="E16" s="41">
        <f>SUM('7'!E10:E33)</f>
        <v>85</v>
      </c>
      <c r="F16" s="41">
        <f>SUM('7'!F10:F33)</f>
        <v>14</v>
      </c>
      <c r="G16" s="41">
        <f>SUM('7'!G10:G33)</f>
        <v>3</v>
      </c>
      <c r="H16" s="42">
        <f t="shared" si="0"/>
        <v>102</v>
      </c>
      <c r="I16" s="41">
        <f>SUM('7'!I10:I33)</f>
        <v>1</v>
      </c>
      <c r="J16" s="41">
        <f>SUM('7'!J10:J33)</f>
        <v>4</v>
      </c>
      <c r="K16" s="41">
        <f>SUM('7'!K10:K33)</f>
        <v>6</v>
      </c>
      <c r="L16" s="41"/>
      <c r="M16" s="43"/>
      <c r="O16" s="4"/>
    </row>
    <row r="17" spans="1:15" s="3" customFormat="1" ht="19.5" customHeight="1" x14ac:dyDescent="0.25">
      <c r="A17" s="1"/>
      <c r="B17" s="40">
        <v>8</v>
      </c>
      <c r="C17" s="41">
        <f>SUM('8'!C10:C33)</f>
        <v>0</v>
      </c>
      <c r="D17" s="41">
        <f>SUM('8'!D10:D33)</f>
        <v>0</v>
      </c>
      <c r="E17" s="41">
        <f>SUM('8'!E10:E33)</f>
        <v>56</v>
      </c>
      <c r="F17" s="41">
        <f>SUM('8'!F10:F33)</f>
        <v>12</v>
      </c>
      <c r="G17" s="41">
        <f>SUM('8'!G10:G33)</f>
        <v>9</v>
      </c>
      <c r="H17" s="42">
        <f t="shared" si="0"/>
        <v>77</v>
      </c>
      <c r="I17" s="41">
        <f>SUM('8'!I10:I33)</f>
        <v>0</v>
      </c>
      <c r="J17" s="41">
        <f>SUM('8'!J10:J33)</f>
        <v>10</v>
      </c>
      <c r="K17" s="41">
        <f>SUM('8'!K10:K33)</f>
        <v>0</v>
      </c>
      <c r="L17" s="41"/>
      <c r="M17" s="43"/>
      <c r="O17" s="4"/>
    </row>
    <row r="18" spans="1:15" s="3" customFormat="1" ht="19.5" customHeight="1" x14ac:dyDescent="0.25">
      <c r="A18" s="1"/>
      <c r="B18" s="40">
        <v>9</v>
      </c>
      <c r="C18" s="41">
        <f>SUM('9'!C10:C33)</f>
        <v>0</v>
      </c>
      <c r="D18" s="41">
        <f>SUM('9'!D10:D33)</f>
        <v>0</v>
      </c>
      <c r="E18" s="41">
        <f>SUM('9'!E10:E33)</f>
        <v>104</v>
      </c>
      <c r="F18" s="41">
        <f>SUM('9'!F10:F33)</f>
        <v>54</v>
      </c>
      <c r="G18" s="41">
        <f>SUM('9'!G10:G33)</f>
        <v>1</v>
      </c>
      <c r="H18" s="42">
        <f t="shared" si="0"/>
        <v>159</v>
      </c>
      <c r="I18" s="41">
        <f>SUM('9'!I10:I33)</f>
        <v>3</v>
      </c>
      <c r="J18" s="41">
        <f>SUM('9'!J10:J33)</f>
        <v>0</v>
      </c>
      <c r="K18" s="41">
        <f>SUM('9'!K10:K33)</f>
        <v>10</v>
      </c>
      <c r="L18" s="41"/>
      <c r="M18" s="43"/>
      <c r="O18" s="4"/>
    </row>
    <row r="19" spans="1:15" s="3" customFormat="1" ht="19.5" customHeight="1" x14ac:dyDescent="0.25">
      <c r="A19" s="1"/>
      <c r="B19" s="40">
        <v>10</v>
      </c>
      <c r="C19" s="41">
        <f>SUM('19'!C10:C33)</f>
        <v>0</v>
      </c>
      <c r="D19" s="41">
        <f>SUM('10'!D10:D33)</f>
        <v>0</v>
      </c>
      <c r="E19" s="41">
        <f>SUM('10'!E10:E33)</f>
        <v>106</v>
      </c>
      <c r="F19" s="41">
        <f>SUM('10'!F10:F33)</f>
        <v>42</v>
      </c>
      <c r="G19" s="41">
        <f>SUM('10'!G10:G33)</f>
        <v>0</v>
      </c>
      <c r="H19" s="42">
        <f t="shared" si="0"/>
        <v>148</v>
      </c>
      <c r="I19" s="41">
        <v>0</v>
      </c>
      <c r="J19" s="41">
        <f>SUM('10'!J10:J33)</f>
        <v>0</v>
      </c>
      <c r="K19" s="41">
        <f>SUM('10'!K10:K33)</f>
        <v>11</v>
      </c>
      <c r="L19" s="41"/>
      <c r="M19" s="43"/>
      <c r="O19" s="4"/>
    </row>
    <row r="20" spans="1:15" s="3" customFormat="1" ht="19.5" customHeight="1" x14ac:dyDescent="0.25">
      <c r="A20" s="1"/>
      <c r="B20" s="40">
        <v>11</v>
      </c>
      <c r="C20" s="41">
        <f>SUM('11'!C10:C33)</f>
        <v>0</v>
      </c>
      <c r="D20" s="41">
        <f>SUM('11'!D10:D33)</f>
        <v>0</v>
      </c>
      <c r="E20" s="41">
        <f>SUM('11'!E10:E33)</f>
        <v>262</v>
      </c>
      <c r="F20" s="41">
        <f>SUM('11'!F10:F33)</f>
        <v>60</v>
      </c>
      <c r="G20" s="41">
        <f>SUM('11'!G10:G33)</f>
        <v>1</v>
      </c>
      <c r="H20" s="42">
        <f t="shared" si="0"/>
        <v>323</v>
      </c>
      <c r="I20" s="41">
        <v>0</v>
      </c>
      <c r="J20" s="41">
        <f>SUM('11'!J10:J33)</f>
        <v>5</v>
      </c>
      <c r="K20" s="41">
        <f>SUM('11'!K10:K33)</f>
        <v>7</v>
      </c>
      <c r="L20" s="41"/>
      <c r="M20" s="43"/>
      <c r="O20" s="4"/>
    </row>
    <row r="21" spans="1:15" s="3" customFormat="1" ht="19.5" customHeight="1" x14ac:dyDescent="0.25">
      <c r="A21" s="1"/>
      <c r="B21" s="40">
        <v>12</v>
      </c>
      <c r="C21" s="41">
        <f>SUM('12'!C10:C33)</f>
        <v>0</v>
      </c>
      <c r="D21" s="41">
        <f>SUM('12'!D10:D33)</f>
        <v>0</v>
      </c>
      <c r="E21" s="41">
        <f>SUM('12'!E10:E33)</f>
        <v>170</v>
      </c>
      <c r="F21" s="41">
        <f>SUM('12'!F10:F33)</f>
        <v>156</v>
      </c>
      <c r="G21" s="41">
        <f>SUM('12'!G10:G33)</f>
        <v>2</v>
      </c>
      <c r="H21" s="42">
        <f t="shared" si="0"/>
        <v>328</v>
      </c>
      <c r="I21" s="41">
        <f>SUM('12'!I10:I33)</f>
        <v>0</v>
      </c>
      <c r="J21" s="41">
        <f>SUM('12'!J10:J33)</f>
        <v>0</v>
      </c>
      <c r="K21" s="41">
        <f>SUM('12'!K10:K33)</f>
        <v>11</v>
      </c>
      <c r="L21" s="41"/>
      <c r="M21" s="43"/>
      <c r="O21" s="4"/>
    </row>
    <row r="22" spans="1:15" s="3" customFormat="1" ht="19.5" customHeight="1" x14ac:dyDescent="0.25">
      <c r="A22" s="1"/>
      <c r="B22" s="40">
        <v>13</v>
      </c>
      <c r="C22" s="41">
        <f>SUM('13'!C10:C33)</f>
        <v>0</v>
      </c>
      <c r="D22" s="41">
        <f>SUM('13'!D10:D33)</f>
        <v>0</v>
      </c>
      <c r="E22" s="41">
        <f>SUM('13'!E10:E33)</f>
        <v>162</v>
      </c>
      <c r="F22" s="41">
        <f>SUM('13'!F10:F33)</f>
        <v>47</v>
      </c>
      <c r="G22" s="41">
        <f>SUM('13'!G10:G33)</f>
        <v>0</v>
      </c>
      <c r="H22" s="42">
        <f t="shared" si="0"/>
        <v>209</v>
      </c>
      <c r="I22" s="41">
        <f>SUM('13'!I10:I33)</f>
        <v>0</v>
      </c>
      <c r="J22" s="41">
        <f>SUM('13'!J10:J33)</f>
        <v>0</v>
      </c>
      <c r="K22" s="41">
        <f>SUM('13'!K10:K33)</f>
        <v>11</v>
      </c>
      <c r="L22" s="41"/>
      <c r="M22" s="43"/>
      <c r="O22" s="4"/>
    </row>
    <row r="23" spans="1:15" s="3" customFormat="1" ht="19.5" customHeight="1" x14ac:dyDescent="0.25">
      <c r="A23" s="1"/>
      <c r="B23" s="40">
        <v>14</v>
      </c>
      <c r="C23" s="41">
        <f>SUM('14'!C10:C33)</f>
        <v>0</v>
      </c>
      <c r="D23" s="41">
        <f>SUM('14'!D10:D33)</f>
        <v>0</v>
      </c>
      <c r="E23" s="41">
        <f>SUM('14'!E10:E33)</f>
        <v>0</v>
      </c>
      <c r="F23" s="41">
        <f>SUM('14'!F10:F33)</f>
        <v>0</v>
      </c>
      <c r="G23" s="41">
        <f>SUM('14'!G10:G33)</f>
        <v>0</v>
      </c>
      <c r="H23" s="42">
        <f t="shared" si="0"/>
        <v>0</v>
      </c>
      <c r="I23" s="41">
        <f>SUM('14'!I10:I33)</f>
        <v>0</v>
      </c>
      <c r="J23" s="41">
        <f>SUM('14'!J10:J33)</f>
        <v>0</v>
      </c>
      <c r="K23" s="41">
        <f>SUM('14'!K10:K33)</f>
        <v>0</v>
      </c>
      <c r="L23" s="41"/>
      <c r="M23" s="43"/>
      <c r="O23" s="4"/>
    </row>
    <row r="24" spans="1:15" s="3" customFormat="1" ht="19.5" customHeight="1" x14ac:dyDescent="0.25">
      <c r="A24" s="1"/>
      <c r="B24" s="40">
        <v>15</v>
      </c>
      <c r="C24" s="41">
        <f>SUM('15'!C10:C33)</f>
        <v>0</v>
      </c>
      <c r="D24" s="41">
        <f>SUM('15'!D10:D33)</f>
        <v>0</v>
      </c>
      <c r="E24" s="41">
        <f>SUM('15'!E10:E33)</f>
        <v>5</v>
      </c>
      <c r="F24" s="41">
        <f>SUM('15'!F10:F33)</f>
        <v>0</v>
      </c>
      <c r="G24" s="41">
        <f>SUM('15'!G10:G33)</f>
        <v>0</v>
      </c>
      <c r="H24" s="42">
        <f t="shared" si="0"/>
        <v>5</v>
      </c>
      <c r="I24" s="41">
        <f>SUM('15'!I10:I33)</f>
        <v>0</v>
      </c>
      <c r="J24" s="41">
        <f>SUM('15'!J10:J33)</f>
        <v>3</v>
      </c>
      <c r="K24" s="41">
        <f>SUM('15'!K10:K33)</f>
        <v>0</v>
      </c>
      <c r="L24" s="41"/>
      <c r="M24" s="43"/>
      <c r="O24" s="4"/>
    </row>
    <row r="25" spans="1:15" s="3" customFormat="1" ht="19.5" customHeight="1" x14ac:dyDescent="0.25">
      <c r="A25" s="1"/>
      <c r="B25" s="40">
        <v>16</v>
      </c>
      <c r="C25" s="41">
        <f>SUM('16'!C10:C33)</f>
        <v>0</v>
      </c>
      <c r="D25" s="41">
        <f>SUM('16'!D10:D33)</f>
        <v>0</v>
      </c>
      <c r="E25" s="41">
        <f>SUM('16'!E10:E33)</f>
        <v>92</v>
      </c>
      <c r="F25" s="41">
        <f>SUM('16'!F10:F33)</f>
        <v>78</v>
      </c>
      <c r="G25" s="41">
        <f>SUM('16'!G10:G33)</f>
        <v>0</v>
      </c>
      <c r="H25" s="42">
        <f t="shared" si="0"/>
        <v>170</v>
      </c>
      <c r="I25" s="41">
        <f>SUM('16'!I10:I33)</f>
        <v>0</v>
      </c>
      <c r="J25" s="41">
        <f>SUM('16'!J10:J33)</f>
        <v>0</v>
      </c>
      <c r="K25" s="41">
        <f>SUM('16'!K10:K33)</f>
        <v>8</v>
      </c>
      <c r="L25" s="41"/>
      <c r="M25" s="43"/>
      <c r="O25" s="4"/>
    </row>
    <row r="26" spans="1:15" s="3" customFormat="1" ht="19.5" customHeight="1" x14ac:dyDescent="0.25">
      <c r="A26" s="1"/>
      <c r="B26" s="40">
        <v>17</v>
      </c>
      <c r="C26" s="41">
        <f>SUM('17'!C10:C33)</f>
        <v>0</v>
      </c>
      <c r="D26" s="41">
        <f>SUM('17'!D10:D33)</f>
        <v>0</v>
      </c>
      <c r="E26" s="41">
        <f>SUM('17'!E10:E33)</f>
        <v>145</v>
      </c>
      <c r="F26" s="41">
        <f>SUM('17'!F10:F33)</f>
        <v>184</v>
      </c>
      <c r="G26" s="41">
        <f>SUM('17'!G10:G33)</f>
        <v>2</v>
      </c>
      <c r="H26" s="42">
        <f t="shared" si="0"/>
        <v>331</v>
      </c>
      <c r="I26" s="41">
        <f>SUM('17'!I10:I33)</f>
        <v>0</v>
      </c>
      <c r="J26" s="41">
        <f>SUM('17'!J10:J33)</f>
        <v>0</v>
      </c>
      <c r="K26" s="41">
        <f>SUM('17'!K10:K33)</f>
        <v>10</v>
      </c>
      <c r="L26" s="41"/>
      <c r="M26" s="43"/>
      <c r="O26" s="4"/>
    </row>
    <row r="27" spans="1:15" s="3" customFormat="1" ht="19.5" customHeight="1" x14ac:dyDescent="0.25">
      <c r="A27" s="1"/>
      <c r="B27" s="40">
        <v>18</v>
      </c>
      <c r="C27" s="41">
        <f>SUM('18'!C10:C33)</f>
        <v>0</v>
      </c>
      <c r="D27" s="41">
        <f>SUM('18'!D10:D33)</f>
        <v>0</v>
      </c>
      <c r="E27" s="41">
        <f>SUM('18'!E10:E33)</f>
        <v>171</v>
      </c>
      <c r="F27" s="41">
        <f>SUM('18'!F10:F33)</f>
        <v>60</v>
      </c>
      <c r="G27" s="41">
        <f>SUM('18'!G10:G33)</f>
        <v>0</v>
      </c>
      <c r="H27" s="42">
        <f t="shared" si="0"/>
        <v>231</v>
      </c>
      <c r="I27" s="41">
        <f>SUM('18'!I10:I33)</f>
        <v>1</v>
      </c>
      <c r="J27" s="41">
        <f>SUM('18'!J10:J33)</f>
        <v>0</v>
      </c>
      <c r="K27" s="41">
        <f>SUM('18'!K10:K33)</f>
        <v>10</v>
      </c>
      <c r="L27" s="41"/>
      <c r="M27" s="43"/>
      <c r="O27" s="4"/>
    </row>
    <row r="28" spans="1:15" s="3" customFormat="1" ht="19.5" customHeight="1" x14ac:dyDescent="0.25">
      <c r="A28" s="1"/>
      <c r="B28" s="40">
        <v>19</v>
      </c>
      <c r="C28" s="41">
        <f>SUM('19'!C10:C33)</f>
        <v>0</v>
      </c>
      <c r="D28" s="41">
        <f>SUM('19'!D10:D33)</f>
        <v>0</v>
      </c>
      <c r="E28" s="41">
        <f>SUM('19'!E10:E33)</f>
        <v>224</v>
      </c>
      <c r="F28" s="41">
        <f>SUM('19'!F10:F33)</f>
        <v>44</v>
      </c>
      <c r="G28" s="41">
        <f>SUM('19'!G10:G33)</f>
        <v>0</v>
      </c>
      <c r="H28" s="42">
        <f t="shared" si="0"/>
        <v>268</v>
      </c>
      <c r="I28" s="41">
        <f>SUM('19'!I10:I33)</f>
        <v>3</v>
      </c>
      <c r="J28" s="41">
        <f>SUM('19'!J10:J33)</f>
        <v>6</v>
      </c>
      <c r="K28" s="41">
        <f>SUM('19'!K10:K33)</f>
        <v>4</v>
      </c>
      <c r="L28" s="41"/>
      <c r="M28" s="43"/>
      <c r="O28" s="4"/>
    </row>
    <row r="29" spans="1:15" s="3" customFormat="1" ht="19.5" customHeight="1" x14ac:dyDescent="0.25">
      <c r="A29" s="1"/>
      <c r="B29" s="40">
        <v>20</v>
      </c>
      <c r="C29" s="41">
        <f>SUM('20'!C10:C33)</f>
        <v>7</v>
      </c>
      <c r="D29" s="41">
        <f>SUM('20'!D10:D33)</f>
        <v>0</v>
      </c>
      <c r="E29" s="41">
        <f>SUM('20'!E10:E33)</f>
        <v>142</v>
      </c>
      <c r="F29" s="41">
        <f>SUM('20'!F10:F33)</f>
        <v>82</v>
      </c>
      <c r="G29" s="41">
        <f>SUM('20'!G10:G33)</f>
        <v>0</v>
      </c>
      <c r="H29" s="42">
        <f t="shared" si="0"/>
        <v>231</v>
      </c>
      <c r="I29" s="41">
        <f>SUM('20'!I10:I33)</f>
        <v>0</v>
      </c>
      <c r="J29" s="41">
        <f>SUM('20'!J10:J33)</f>
        <v>0</v>
      </c>
      <c r="K29" s="41">
        <f>SUM('20'!K10:K33)</f>
        <v>7</v>
      </c>
      <c r="L29" s="41"/>
      <c r="M29" s="43"/>
      <c r="O29" s="4"/>
    </row>
    <row r="30" spans="1:15" s="3" customFormat="1" ht="19.5" customHeight="1" x14ac:dyDescent="0.25">
      <c r="A30" s="1"/>
      <c r="B30" s="40">
        <v>21</v>
      </c>
      <c r="C30" s="41">
        <f>SUM('21'!C10:C33)</f>
        <v>0</v>
      </c>
      <c r="D30" s="41">
        <f>SUM('21'!D10:D33)</f>
        <v>0</v>
      </c>
      <c r="E30" s="41">
        <f>SUM('21'!E10:E33)</f>
        <v>0</v>
      </c>
      <c r="F30" s="41">
        <f>SUM('21'!F10:F33)</f>
        <v>0</v>
      </c>
      <c r="G30" s="41">
        <f>SUM('21'!G10:G33)</f>
        <v>0</v>
      </c>
      <c r="H30" s="42">
        <f t="shared" si="0"/>
        <v>0</v>
      </c>
      <c r="I30" s="41">
        <f>SUM('21'!I10:I33)</f>
        <v>0</v>
      </c>
      <c r="J30" s="41">
        <f>SUM('21'!J10:J33)</f>
        <v>0</v>
      </c>
      <c r="K30" s="41">
        <f>SUM('21'!K10:K33)</f>
        <v>0</v>
      </c>
      <c r="L30" s="41"/>
      <c r="M30" s="43"/>
      <c r="O30" s="4"/>
    </row>
    <row r="31" spans="1:15" s="3" customFormat="1" ht="19.5" customHeight="1" x14ac:dyDescent="0.25">
      <c r="A31" s="1"/>
      <c r="B31" s="40">
        <v>22</v>
      </c>
      <c r="C31" s="41">
        <f>SUM('22'!C10:C33)</f>
        <v>0</v>
      </c>
      <c r="D31" s="41">
        <f>SUM('22'!D10:D33)</f>
        <v>0</v>
      </c>
      <c r="E31" s="41">
        <f>SUM('22'!E10:E33)</f>
        <v>0</v>
      </c>
      <c r="F31" s="41">
        <f>SUM('22'!F10:F33)</f>
        <v>0</v>
      </c>
      <c r="G31" s="41">
        <f>SUM('22'!G10:G33)</f>
        <v>0</v>
      </c>
      <c r="H31" s="42">
        <f t="shared" si="0"/>
        <v>0</v>
      </c>
      <c r="I31" s="41">
        <f>SUM('22'!I10:I33)</f>
        <v>0</v>
      </c>
      <c r="J31" s="41">
        <f>SUM('22'!J10:J33)</f>
        <v>0</v>
      </c>
      <c r="K31" s="41">
        <f>SUM('22'!K10:K33)</f>
        <v>0</v>
      </c>
      <c r="L31" s="41"/>
      <c r="M31" s="43"/>
      <c r="O31" s="4"/>
    </row>
    <row r="32" spans="1:15" s="3" customFormat="1" ht="19.5" customHeight="1" x14ac:dyDescent="0.25">
      <c r="A32" s="1"/>
      <c r="B32" s="40">
        <v>23</v>
      </c>
      <c r="C32" s="41">
        <f>SUM('23'!C10:C33)</f>
        <v>0</v>
      </c>
      <c r="D32" s="41">
        <f>SUM('23'!D10:D33)</f>
        <v>0</v>
      </c>
      <c r="E32" s="41">
        <f>SUM('23'!E10:E33)</f>
        <v>0</v>
      </c>
      <c r="F32" s="41">
        <f>SUM('23'!F10:F33)</f>
        <v>0</v>
      </c>
      <c r="G32" s="41">
        <f>SUM('23'!G10:G33)</f>
        <v>0</v>
      </c>
      <c r="H32" s="42">
        <f t="shared" si="0"/>
        <v>0</v>
      </c>
      <c r="I32" s="41">
        <f>SUM('23'!I10:I33)</f>
        <v>0</v>
      </c>
      <c r="J32" s="41">
        <f>SUM('23'!J10:J33)</f>
        <v>0</v>
      </c>
      <c r="K32" s="41">
        <f>SUM('23'!K10:K33)</f>
        <v>0</v>
      </c>
      <c r="L32" s="41"/>
      <c r="M32" s="43"/>
      <c r="O32" s="4"/>
    </row>
    <row r="33" spans="1:16" s="3" customFormat="1" ht="19.5" customHeight="1" x14ac:dyDescent="0.25">
      <c r="A33" s="1"/>
      <c r="B33" s="40">
        <v>24</v>
      </c>
      <c r="C33" s="41">
        <f>SUM('24'!C10:C33)</f>
        <v>0</v>
      </c>
      <c r="D33" s="41">
        <f>SUM('24'!D10:D33)</f>
        <v>0</v>
      </c>
      <c r="E33" s="41">
        <f>SUM('24'!E10:E33)</f>
        <v>0</v>
      </c>
      <c r="F33" s="41">
        <f>SUM('24'!F10:F33)</f>
        <v>0</v>
      </c>
      <c r="G33" s="41">
        <f>SUM('24'!G10:G33)</f>
        <v>0</v>
      </c>
      <c r="H33" s="42">
        <f t="shared" si="0"/>
        <v>0</v>
      </c>
      <c r="I33" s="41">
        <f>SUM('24'!I10:I33)</f>
        <v>0</v>
      </c>
      <c r="J33" s="41">
        <f>SUM('24'!J10:J33)</f>
        <v>0</v>
      </c>
      <c r="K33" s="41">
        <f>SUM('24'!K10:K33)</f>
        <v>0</v>
      </c>
      <c r="L33" s="41"/>
      <c r="M33" s="43"/>
      <c r="O33" s="4"/>
    </row>
    <row r="34" spans="1:16" s="3" customFormat="1" ht="19.5" customHeight="1" x14ac:dyDescent="0.25">
      <c r="A34" s="1"/>
      <c r="B34" s="40">
        <v>25</v>
      </c>
      <c r="C34" s="41">
        <f>SUM('25'!C10:C33)</f>
        <v>0</v>
      </c>
      <c r="D34" s="41">
        <f>SUM('25'!D10:D33)</f>
        <v>0</v>
      </c>
      <c r="E34" s="41">
        <f>SUM('25'!E10:E33)</f>
        <v>0</v>
      </c>
      <c r="F34" s="41">
        <f>SUM('25'!F10:F33)</f>
        <v>0</v>
      </c>
      <c r="G34" s="41">
        <f>SUM('25'!G10:G33)</f>
        <v>0</v>
      </c>
      <c r="H34" s="42">
        <f t="shared" si="0"/>
        <v>0</v>
      </c>
      <c r="I34" s="41">
        <f>SUM('25'!I10:I33)</f>
        <v>0</v>
      </c>
      <c r="J34" s="41">
        <f>SUM('25'!J10:J33)</f>
        <v>0</v>
      </c>
      <c r="K34" s="41">
        <f>SUM('25'!K10:K33)</f>
        <v>0</v>
      </c>
      <c r="L34" s="41"/>
      <c r="M34" s="43"/>
      <c r="O34" s="4"/>
    </row>
    <row r="35" spans="1:16" s="3" customFormat="1" ht="19.5" customHeight="1" x14ac:dyDescent="0.25">
      <c r="A35" s="1"/>
      <c r="B35" s="40">
        <v>26</v>
      </c>
      <c r="C35" s="41">
        <f>SUM('26'!C11:C33)</f>
        <v>0</v>
      </c>
      <c r="D35" s="41">
        <f>SUM('26'!D11:D33)</f>
        <v>0</v>
      </c>
      <c r="E35" s="41">
        <f>SUM('26'!E11:E33)</f>
        <v>0</v>
      </c>
      <c r="F35" s="41">
        <f>SUM('26'!F11:F33)</f>
        <v>0</v>
      </c>
      <c r="G35" s="41">
        <f>SUM('26'!G11:G33)</f>
        <v>0</v>
      </c>
      <c r="H35" s="42">
        <f t="shared" si="0"/>
        <v>0</v>
      </c>
      <c r="I35" s="41">
        <f>SUM('26'!I10:I33)</f>
        <v>0</v>
      </c>
      <c r="J35" s="41">
        <f>SUM('26'!J10:J33)</f>
        <v>0</v>
      </c>
      <c r="K35" s="41">
        <f>SUM('26'!K10:K33)</f>
        <v>0</v>
      </c>
      <c r="L35" s="41"/>
      <c r="M35" s="43"/>
      <c r="O35" s="4"/>
    </row>
    <row r="36" spans="1:16" s="3" customFormat="1" ht="19.5" customHeight="1" x14ac:dyDescent="0.25">
      <c r="A36" s="1"/>
      <c r="B36" s="40">
        <v>27</v>
      </c>
      <c r="C36" s="41">
        <f>SUM('27'!C10:C33)</f>
        <v>0</v>
      </c>
      <c r="D36" s="41">
        <f>SUM('27'!D10:D33)</f>
        <v>0</v>
      </c>
      <c r="E36" s="41">
        <f>SUM('27'!E10:E33)</f>
        <v>0</v>
      </c>
      <c r="F36" s="41">
        <f>SUM('27'!F10:F33)</f>
        <v>0</v>
      </c>
      <c r="G36" s="41">
        <f>SUM('27'!G10:G33)</f>
        <v>0</v>
      </c>
      <c r="H36" s="42">
        <f t="shared" si="0"/>
        <v>0</v>
      </c>
      <c r="I36" s="41">
        <f>SUM('27'!I10:I33)</f>
        <v>0</v>
      </c>
      <c r="J36" s="41">
        <f>SUM('27'!J10:J33)</f>
        <v>0</v>
      </c>
      <c r="K36" s="41">
        <f>SUM('27'!K10:K33)</f>
        <v>0</v>
      </c>
      <c r="L36" s="41"/>
      <c r="M36" s="43"/>
      <c r="O36" s="4"/>
    </row>
    <row r="37" spans="1:16" s="3" customFormat="1" ht="19.5" customHeight="1" x14ac:dyDescent="0.25">
      <c r="A37" s="1"/>
      <c r="B37" s="40">
        <v>28</v>
      </c>
      <c r="C37" s="41">
        <f>SUM('28'!C10:C30)</f>
        <v>0</v>
      </c>
      <c r="D37" s="41">
        <f>SUM('28'!D10:D30)</f>
        <v>0</v>
      </c>
      <c r="E37" s="41">
        <f>SUM('28'!E10:E30)</f>
        <v>0</v>
      </c>
      <c r="F37" s="41">
        <f>SUM('28'!F10:F30)</f>
        <v>0</v>
      </c>
      <c r="G37" s="41">
        <f>SUM('28'!G10:G30)</f>
        <v>0</v>
      </c>
      <c r="H37" s="42">
        <f t="shared" si="0"/>
        <v>0</v>
      </c>
      <c r="I37" s="41">
        <f>SUM('28'!I10:I33)</f>
        <v>0</v>
      </c>
      <c r="J37" s="41">
        <f>SUM('28'!J10:J33)</f>
        <v>0</v>
      </c>
      <c r="K37" s="41">
        <f>SUM('28'!K10:K33)</f>
        <v>0</v>
      </c>
      <c r="L37" s="41"/>
      <c r="M37" s="43"/>
      <c r="O37" s="4"/>
    </row>
    <row r="38" spans="1:16" s="3" customFormat="1" ht="19.5" customHeight="1" x14ac:dyDescent="0.25">
      <c r="A38" s="1"/>
      <c r="B38" s="40">
        <v>29</v>
      </c>
      <c r="C38" s="41">
        <f>SUM('29'!C10:C33)</f>
        <v>0</v>
      </c>
      <c r="D38" s="41">
        <f>SUM('29'!D10:D33)</f>
        <v>0</v>
      </c>
      <c r="E38" s="41">
        <f>SUM('29'!E10:E33)</f>
        <v>0</v>
      </c>
      <c r="F38" s="41">
        <f>SUM('29'!F10:F33)</f>
        <v>0</v>
      </c>
      <c r="G38" s="41">
        <f>SUM('29'!G10:G33)</f>
        <v>0</v>
      </c>
      <c r="H38" s="42">
        <f t="shared" si="0"/>
        <v>0</v>
      </c>
      <c r="I38" s="41">
        <f>SUM('29'!I10:I33)</f>
        <v>0</v>
      </c>
      <c r="J38" s="41">
        <f>SUM('29'!J10:J33)</f>
        <v>0</v>
      </c>
      <c r="K38" s="41">
        <f>SUM('29'!K10:K33)</f>
        <v>0</v>
      </c>
      <c r="L38" s="41"/>
      <c r="M38" s="43"/>
      <c r="O38" s="4"/>
    </row>
    <row r="39" spans="1:16" s="3" customFormat="1" ht="19.5" customHeight="1" x14ac:dyDescent="0.25">
      <c r="A39" s="1"/>
      <c r="B39" s="40">
        <v>30</v>
      </c>
      <c r="C39" s="41">
        <f>SUM('30'!C10:C33)</f>
        <v>0</v>
      </c>
      <c r="D39" s="41">
        <f>SUM('30'!D10:D33)</f>
        <v>0</v>
      </c>
      <c r="E39" s="41">
        <f>SUM('30'!E10:E33)</f>
        <v>0</v>
      </c>
      <c r="F39" s="41">
        <f>SUM('30'!F10:F33)</f>
        <v>0</v>
      </c>
      <c r="G39" s="41">
        <f>SUM('30'!G10:G33)</f>
        <v>0</v>
      </c>
      <c r="H39" s="42">
        <f t="shared" si="0"/>
        <v>0</v>
      </c>
      <c r="I39" s="41">
        <f>SUM('30'!I10:I33)</f>
        <v>0</v>
      </c>
      <c r="J39" s="41">
        <f>SUM('30'!J10:J33)</f>
        <v>0</v>
      </c>
      <c r="K39" s="41">
        <f>SUM('30'!K10:K33)</f>
        <v>0</v>
      </c>
      <c r="L39" s="41"/>
      <c r="M39" s="43"/>
      <c r="O39" s="4"/>
    </row>
    <row r="40" spans="1:16" s="3" customFormat="1" ht="19.5" customHeight="1" thickBot="1" x14ac:dyDescent="0.3">
      <c r="A40" s="1"/>
      <c r="B40" s="40">
        <v>31</v>
      </c>
      <c r="C40" s="41">
        <f>SUM('31'!C10:C33)</f>
        <v>0</v>
      </c>
      <c r="D40" s="41">
        <f>SUM('31'!D10:D33)</f>
        <v>0</v>
      </c>
      <c r="E40" s="41">
        <f>SUM('31'!E10:E33)</f>
        <v>0</v>
      </c>
      <c r="F40" s="41">
        <f>SUM('31'!F10:F33)</f>
        <v>0</v>
      </c>
      <c r="G40" s="41">
        <f>SUM('31'!G10:G33)</f>
        <v>0</v>
      </c>
      <c r="H40" s="42">
        <f t="shared" si="0"/>
        <v>0</v>
      </c>
      <c r="I40" s="41">
        <f>SUM('31'!I10:I33)</f>
        <v>0</v>
      </c>
      <c r="J40" s="41">
        <f>SUM('31'!J10:J33)</f>
        <v>0</v>
      </c>
      <c r="K40" s="41">
        <f>SUM('31'!K10:K33)</f>
        <v>0</v>
      </c>
      <c r="L40" s="41"/>
      <c r="M40" s="43"/>
      <c r="O40" s="4"/>
    </row>
    <row r="41" spans="1:16" ht="15.75" thickTop="1" x14ac:dyDescent="0.25">
      <c r="B41" s="63" t="s">
        <v>46</v>
      </c>
      <c r="C41" s="51" t="s">
        <v>6</v>
      </c>
      <c r="D41" s="51" t="s">
        <v>7</v>
      </c>
      <c r="E41" s="51" t="s">
        <v>8</v>
      </c>
      <c r="F41" s="51" t="s">
        <v>9</v>
      </c>
      <c r="G41" s="51" t="s">
        <v>10</v>
      </c>
      <c r="H41" s="71" t="s">
        <v>11</v>
      </c>
      <c r="I41" s="78" t="s">
        <v>12</v>
      </c>
      <c r="J41" s="76" t="s">
        <v>13</v>
      </c>
      <c r="K41" s="51"/>
      <c r="L41" s="51"/>
      <c r="M41" s="77"/>
      <c r="P41" s="1" t="s">
        <v>40</v>
      </c>
    </row>
    <row r="42" spans="1:16" x14ac:dyDescent="0.25">
      <c r="B42" s="64"/>
      <c r="C42" s="52"/>
      <c r="D42" s="52"/>
      <c r="E42" s="52"/>
      <c r="F42" s="52"/>
      <c r="G42" s="52"/>
      <c r="H42" s="72"/>
      <c r="I42" s="79"/>
      <c r="J42" s="44">
        <f>J9</f>
        <v>2</v>
      </c>
      <c r="K42" s="45">
        <f>K9</f>
        <v>20</v>
      </c>
      <c r="L42" s="45">
        <f>L9</f>
        <v>0</v>
      </c>
      <c r="M42" s="46">
        <f>M9</f>
        <v>0</v>
      </c>
      <c r="P42" s="1">
        <f>SUM(J43:M43)</f>
        <v>155</v>
      </c>
    </row>
    <row r="43" spans="1:16" x14ac:dyDescent="0.25">
      <c r="B43" s="64"/>
      <c r="C43" s="22">
        <f t="shared" ref="C43:M43" si="1">SUM(C10:C40)</f>
        <v>7</v>
      </c>
      <c r="D43" s="22">
        <f t="shared" si="1"/>
        <v>0</v>
      </c>
      <c r="E43" s="22">
        <f t="shared" si="1"/>
        <v>2043</v>
      </c>
      <c r="F43" s="22">
        <f t="shared" si="1"/>
        <v>1141</v>
      </c>
      <c r="G43" s="22">
        <f t="shared" si="1"/>
        <v>20</v>
      </c>
      <c r="H43" s="22">
        <f t="shared" si="1"/>
        <v>3211</v>
      </c>
      <c r="I43" s="29">
        <f t="shared" si="1"/>
        <v>10</v>
      </c>
      <c r="J43" s="35">
        <f t="shared" si="1"/>
        <v>34</v>
      </c>
      <c r="K43" s="22">
        <f t="shared" si="1"/>
        <v>121</v>
      </c>
      <c r="L43" s="22">
        <f t="shared" si="1"/>
        <v>0</v>
      </c>
      <c r="M43" s="23">
        <f t="shared" si="1"/>
        <v>0</v>
      </c>
    </row>
    <row r="44" spans="1:16" ht="15.75" thickBot="1" x14ac:dyDescent="0.3">
      <c r="B44" s="65"/>
      <c r="C44" s="16">
        <f>((C43*100)/$H$43)/100</f>
        <v>2.1800062285892248E-3</v>
      </c>
      <c r="D44" s="16">
        <f t="shared" ref="D44:I44" si="2">((D43*100)/$H$43)/100</f>
        <v>0</v>
      </c>
      <c r="E44" s="16">
        <f t="shared" si="2"/>
        <v>0.63625038928682653</v>
      </c>
      <c r="F44" s="16">
        <f t="shared" si="2"/>
        <v>0.35534101526004364</v>
      </c>
      <c r="G44" s="16">
        <f t="shared" si="2"/>
        <v>6.2285892245406418E-3</v>
      </c>
      <c r="H44" s="16">
        <f>((H43*100)/$H$43)/100</f>
        <v>1</v>
      </c>
      <c r="I44" s="30">
        <f t="shared" si="2"/>
        <v>3.1142946122703209E-3</v>
      </c>
      <c r="J44" s="36">
        <f>((J43*100)/$P$42)/100</f>
        <v>0.2193548387096774</v>
      </c>
      <c r="K44" s="17">
        <f>((K43*100)/$P$42)/100</f>
        <v>0.78064516129032258</v>
      </c>
      <c r="L44" s="17">
        <f>((L43*100)/$P$42)/100</f>
        <v>0</v>
      </c>
      <c r="M44" s="24">
        <f>((M43*100)/$P$42)/100</f>
        <v>0</v>
      </c>
    </row>
    <row r="45" spans="1:16" ht="15.75" thickTop="1" x14ac:dyDescent="0.25"/>
    <row r="46" spans="1:16" x14ac:dyDescent="0.25"/>
    <row r="47" spans="1:16" x14ac:dyDescent="0.25"/>
    <row r="48" spans="1:16" x14ac:dyDescent="0.25">
      <c r="F48" s="5"/>
      <c r="G48" s="5"/>
      <c r="H48" s="5"/>
      <c r="I48" s="5"/>
    </row>
    <row r="49" spans="6:9" x14ac:dyDescent="0.25">
      <c r="F49" s="50" t="s">
        <v>41</v>
      </c>
      <c r="G49" s="50"/>
      <c r="H49" s="50"/>
      <c r="I49" s="50"/>
    </row>
    <row r="50" spans="6:9" x14ac:dyDescent="0.25"/>
    <row r="51" spans="6:9" x14ac:dyDescent="0.25"/>
    <row r="52" spans="6:9" x14ac:dyDescent="0.25"/>
    <row r="53" spans="6:9" x14ac:dyDescent="0.25"/>
  </sheetData>
  <sheetProtection password="DE06" sheet="1" objects="1" scenarios="1" selectLockedCells="1"/>
  <mergeCells count="23">
    <mergeCell ref="B3:M3"/>
    <mergeCell ref="B4:M4"/>
    <mergeCell ref="D6:F6"/>
    <mergeCell ref="I6:K6"/>
    <mergeCell ref="B41:B44"/>
    <mergeCell ref="B8:B9"/>
    <mergeCell ref="J8:M8"/>
    <mergeCell ref="J41:M41"/>
    <mergeCell ref="F49:I49"/>
    <mergeCell ref="H8:H9"/>
    <mergeCell ref="I8:I9"/>
    <mergeCell ref="C8:C9"/>
    <mergeCell ref="D8:D9"/>
    <mergeCell ref="E8:E9"/>
    <mergeCell ref="E41:E42"/>
    <mergeCell ref="F8:F9"/>
    <mergeCell ref="I41:I42"/>
    <mergeCell ref="G41:G42"/>
    <mergeCell ref="H41:H42"/>
    <mergeCell ref="G8:G9"/>
    <mergeCell ref="F41:F42"/>
    <mergeCell ref="C41:C42"/>
    <mergeCell ref="D41:D42"/>
  </mergeCells>
  <phoneticPr fontId="0" type="noConversion"/>
  <conditionalFormatting sqref="J44:M44">
    <cfRule type="cellIs" dxfId="0" priority="1" operator="greaterThan">
      <formula>1</formula>
    </cfRule>
  </conditionalFormatting>
  <dataValidations count="1">
    <dataValidation type="date" errorStyle="warning" operator="greaterThan" showErrorMessage="1" errorTitle="FECHA" error="Formato de fecha: DD/MM/AAAA" sqref="I6">
      <formula1>1</formula1>
    </dataValidation>
  </dataValidations>
  <pageMargins left="0.7" right="0.7" top="0.75" bottom="0.75" header="0.3" footer="0.3"/>
  <pageSetup paperSize="9" scale="64" orientation="portrait" verticalDpi="599" r:id="rId1"/>
  <headerFooter>
    <oddFooter>&amp;LFecha de impresión: &amp;D&amp;RREV.0&amp;P/&amp;N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40</vt:i4>
      </vt:variant>
      <vt:variant>
        <vt:lpstr>Rangos con nombre</vt:lpstr>
      </vt:variant>
      <vt:variant>
        <vt:i4>32</vt:i4>
      </vt:variant>
    </vt:vector>
  </HeadingPairs>
  <TitlesOfParts>
    <vt:vector size="72"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Hoja5</vt:lpstr>
      <vt:lpstr>17</vt:lpstr>
      <vt:lpstr>18</vt:lpstr>
      <vt:lpstr>19</vt:lpstr>
      <vt:lpstr>20</vt:lpstr>
      <vt:lpstr>21</vt:lpstr>
      <vt:lpstr>Hoja2</vt:lpstr>
      <vt:lpstr>Hoja3</vt:lpstr>
      <vt:lpstr>Hoja4</vt:lpstr>
      <vt:lpstr>22</vt:lpstr>
      <vt:lpstr>23</vt:lpstr>
      <vt:lpstr>Hoja6</vt:lpstr>
      <vt:lpstr>Hoja7</vt:lpstr>
      <vt:lpstr>Hoja8</vt:lpstr>
      <vt:lpstr>24</vt:lpstr>
      <vt:lpstr>25</vt:lpstr>
      <vt:lpstr>26</vt:lpstr>
      <vt:lpstr>27</vt:lpstr>
      <vt:lpstr>28</vt:lpstr>
      <vt:lpstr>29</vt:lpstr>
      <vt:lpstr>Hoja1</vt:lpstr>
      <vt:lpstr>30</vt:lpstr>
      <vt:lpstr>31</vt:lpstr>
      <vt:lpstr>MENSUAL</vt:lpstr>
      <vt:lpstr>'1'!Área_de_impresión</vt:lpstr>
      <vt:lpstr>'10'!Área_de_impresión</vt:lpstr>
      <vt:lpstr>'11'!Área_de_impresión</vt:lpstr>
      <vt:lpstr>'12'!Área_de_impresión</vt:lpstr>
      <vt:lpstr>'13'!Área_de_impresión</vt:lpstr>
      <vt:lpstr>'14'!Área_de_impresión</vt:lpstr>
      <vt:lpstr>'15'!Área_de_impresión</vt:lpstr>
      <vt:lpstr>'16'!Área_de_impresión</vt:lpstr>
      <vt:lpstr>'17'!Área_de_impresión</vt:lpstr>
      <vt:lpstr>'18'!Área_de_impresión</vt:lpstr>
      <vt:lpstr>'19'!Área_de_impresión</vt:lpstr>
      <vt:lpstr>'2'!Área_de_impresión</vt:lpstr>
      <vt:lpstr>'20'!Área_de_impresión</vt:lpstr>
      <vt:lpstr>'21'!Área_de_impresión</vt:lpstr>
      <vt:lpstr>'22'!Área_de_impresión</vt:lpstr>
      <vt:lpstr>'23'!Área_de_impresión</vt:lpstr>
      <vt:lpstr>'24'!Área_de_impresión</vt:lpstr>
      <vt:lpstr>'25'!Área_de_impresión</vt:lpstr>
      <vt:lpstr>'26'!Área_de_impresión</vt:lpstr>
      <vt:lpstr>'27'!Área_de_impresión</vt:lpstr>
      <vt:lpstr>'28'!Área_de_impresión</vt:lpstr>
      <vt:lpstr>'29'!Área_de_impresión</vt:lpstr>
      <vt:lpstr>'3'!Área_de_impresión</vt:lpstr>
      <vt:lpstr>'30'!Área_de_impresión</vt:lpstr>
      <vt:lpstr>'31'!Área_de_impresión</vt:lpstr>
      <vt:lpstr>'4'!Área_de_impresión</vt:lpstr>
      <vt:lpstr>'5'!Área_de_impresión</vt:lpstr>
      <vt:lpstr>'6'!Área_de_impresión</vt:lpstr>
      <vt:lpstr>'7'!Área_de_impresión</vt:lpstr>
      <vt:lpstr>'8'!Área_de_impresión</vt:lpstr>
      <vt:lpstr>'9'!Área_de_impresión</vt:lpstr>
      <vt:lpstr>MENSUAL!Área_de_impresión</vt:lpstr>
    </vt:vector>
  </TitlesOfParts>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LLambi</dc:creator>
  <cp:lastModifiedBy>EANA</cp:lastModifiedBy>
  <cp:revision/>
  <dcterms:created xsi:type="dcterms:W3CDTF">2016-11-03T12:20:05Z</dcterms:created>
  <dcterms:modified xsi:type="dcterms:W3CDTF">2026-08-21T11:03:37Z</dcterms:modified>
</cp:coreProperties>
</file>