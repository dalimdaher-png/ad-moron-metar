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105" windowWidth="23250" windowHeight="12450" tabRatio="794" firstSheet="0" activeTab="20" autoFilterDateGrouping="1"/>
  </bookViews>
  <sheets>
    <sheet name="1" sheetId="1" state="visible" r:id="rId1"/>
    <sheet name="2" sheetId="2" state="visible" r:id="rId2"/>
    <sheet name="3" sheetId="3" state="visible" r:id="rId3"/>
    <sheet name="4" sheetId="4" state="visible" r:id="rId4"/>
    <sheet name="5" sheetId="5" state="visible" r:id="rId5"/>
    <sheet name="6" sheetId="6" state="visible" r:id="rId6"/>
    <sheet name="7" sheetId="7" state="visible" r:id="rId7"/>
    <sheet name="8" sheetId="8" state="visible" r:id="rId8"/>
    <sheet name="9" sheetId="9" state="visible" r:id="rId9"/>
    <sheet name="10" sheetId="10" state="visible" r:id="rId10"/>
    <sheet name="11" sheetId="11" state="visible" r:id="rId11"/>
    <sheet name="12" sheetId="12" state="visible" r:id="rId12"/>
    <sheet name="13" sheetId="13" state="visible" r:id="rId13"/>
    <sheet name="14" sheetId="14" state="visible" r:id="rId14"/>
    <sheet name="15" sheetId="15" state="visible" r:id="rId15"/>
    <sheet name="16" sheetId="16" state="visible" r:id="rId16"/>
    <sheet name="Hoja5" sheetId="17" state="hidden" r:id="rId17"/>
    <sheet name="17" sheetId="18" state="visible" r:id="rId18"/>
    <sheet name="18" sheetId="19" state="visible" r:id="rId19"/>
    <sheet name="19" sheetId="20" state="visible" r:id="rId20"/>
    <sheet name="20" sheetId="21" state="visible" r:id="rId21"/>
    <sheet name="21" sheetId="22" state="visible" r:id="rId22"/>
    <sheet name="Hoja2" sheetId="23" state="hidden" r:id="rId23"/>
    <sheet name="Hoja3" sheetId="24" state="hidden" r:id="rId24"/>
    <sheet name="Hoja4" sheetId="25" state="hidden" r:id="rId25"/>
    <sheet name="22" sheetId="26" state="visible" r:id="rId26"/>
    <sheet name="23" sheetId="27" state="visible" r:id="rId27"/>
    <sheet name="Hoja6" sheetId="28" state="hidden" r:id="rId28"/>
    <sheet name="Hoja7" sheetId="29" state="hidden" r:id="rId29"/>
    <sheet name="Hoja8" sheetId="30" state="hidden" r:id="rId30"/>
    <sheet name="24" sheetId="31" state="visible" r:id="rId31"/>
    <sheet name="25" sheetId="32" state="visible" r:id="rId32"/>
    <sheet name="26" sheetId="33" state="visible" r:id="rId33"/>
    <sheet name="27" sheetId="34" state="visible" r:id="rId34"/>
    <sheet name="28" sheetId="35" state="visible" r:id="rId35"/>
    <sheet name="29" sheetId="36" state="visible" r:id="rId36"/>
    <sheet name="Hoja1" sheetId="37" state="hidden" r:id="rId37"/>
    <sheet name="30" sheetId="38" state="visible" r:id="rId38"/>
    <sheet name="31" sheetId="39" state="visible" r:id="rId39"/>
    <sheet name="MENSUAL" sheetId="40" state="visible" r:id="rId40"/>
    <sheet name="METEO_SADM" sheetId="41" state="visible" r:id="rId41"/>
    <sheet name="CONTROL" sheetId="42" state="visible" r:id="rId42"/>
  </sheets>
  <definedNames>
    <definedName name="_xlnm.Print_Area" localSheetId="0">'1'!$B$1:$M$46</definedName>
    <definedName name="_xlnm.Print_Area" localSheetId="1">'2'!$B$1:$M$46</definedName>
    <definedName name="_xlnm.Print_Area" localSheetId="2">'3'!$B$1:$M$46</definedName>
    <definedName name="_xlnm.Print_Area" localSheetId="3">'4'!$B$1:$M$46</definedName>
    <definedName name="_xlnm.Print_Area" localSheetId="4">'5'!$B$1:$M$46</definedName>
    <definedName name="_xlnm.Print_Area" localSheetId="5">'6'!$B$1:$M$46</definedName>
    <definedName name="_xlnm.Print_Area" localSheetId="6">'7'!$B$1:$M$46</definedName>
    <definedName name="_xlnm.Print_Area" localSheetId="7">'8'!$B$1:$M$46</definedName>
    <definedName name="_xlnm.Print_Area" localSheetId="8">'9'!$B$1:$M$46</definedName>
    <definedName name="_xlnm.Print_Area" localSheetId="9">'10'!$B$1:$M$46</definedName>
    <definedName name="_xlnm.Print_Area" localSheetId="10">'11'!$B$1:$M$46</definedName>
    <definedName name="_xlnm.Print_Area" localSheetId="11">'12'!$B$1:$M$46</definedName>
    <definedName name="_xlnm.Print_Area" localSheetId="12">'13'!$B$1:$M$46</definedName>
    <definedName name="_xlnm.Print_Area" localSheetId="13">'14'!$B$1:$M$46</definedName>
    <definedName name="_xlnm.Print_Area" localSheetId="14">'15'!$B$1:$M$46</definedName>
    <definedName name="_xlnm.Print_Area" localSheetId="15">'16'!$B$1:$M$46</definedName>
    <definedName name="_xlnm.Print_Area" localSheetId="17">'17'!$B$1:$M$46</definedName>
    <definedName name="_xlnm.Print_Area" localSheetId="18">'18'!$B$1:$M$46</definedName>
    <definedName name="_xlnm.Print_Area" localSheetId="19">'19'!$B$1:$M$46</definedName>
    <definedName name="_xlnm.Print_Area" localSheetId="20">'20'!$B$1:$M$46</definedName>
    <definedName name="_xlnm.Print_Area" localSheetId="21">'21'!$B$1:$M$46</definedName>
    <definedName name="_xlnm.Print_Area" localSheetId="25">'22'!$B$1:$M$46</definedName>
    <definedName name="_xlnm.Print_Area" localSheetId="26">'23'!$B$1:$M$46</definedName>
    <definedName name="_xlnm.Print_Area" localSheetId="30">'24'!$B$1:$M$46</definedName>
    <definedName name="_xlnm.Print_Area" localSheetId="31">'25'!$B$1:$M$46</definedName>
    <definedName name="_xlnm.Print_Area" localSheetId="32">'26'!$B$1:$M$46</definedName>
    <definedName name="_xlnm.Print_Area" localSheetId="33">'27'!$B$1:$M$46</definedName>
    <definedName name="_xlnm.Print_Area" localSheetId="34">'28'!$B$1:$M$46</definedName>
    <definedName name="_xlnm.Print_Area" localSheetId="35">'29'!$B$1:$M$46</definedName>
    <definedName name="_xlnm.Print_Area" localSheetId="37">'30'!$B$1:$M$46</definedName>
    <definedName name="_xlnm.Print_Area" localSheetId="38">'31'!$B$1:$M$46</definedName>
    <definedName name="_xlnm.Print_Area" localSheetId="39">'MENSUAL'!$B$1:$M$51</definedName>
    <definedName name="_xlnm._FilterDatabase" localSheetId="40" hidden="1">'METEO_SADM'!$A$1:$L$505</definedName>
    <definedName name="_xlnm._FilterDatabase" localSheetId="41" hidden="1">'CONTROL'!$A$1:$H$104</definedName>
  </definedNames>
  <calcPr calcId="162913" fullCalcOnLoad="1"/>
</workbook>
</file>

<file path=xl/styles.xml><?xml version="1.0" encoding="utf-8"?>
<styleSheet xmlns="http://schemas.openxmlformats.org/spreadsheetml/2006/main">
  <numFmts count="1">
    <numFmt numFmtId="164" formatCode="yyyy-mm-dd"/>
  </numFmts>
  <fonts count="17">
    <font>
      <name val="Calibri"/>
      <family val="2"/>
      <color theme="1"/>
      <sz val="11"/>
      <scheme val="minor"/>
    </font>
    <font>
      <name val="Calibri"/>
      <family val="2"/>
      <color indexed="9"/>
      <sz val="11"/>
    </font>
    <font>
      <name val="Calibri"/>
      <family val="2"/>
      <b val="1"/>
      <sz val="11"/>
    </font>
    <font>
      <name val="Calibri"/>
      <family val="2"/>
      <color indexed="30"/>
      <sz val="11"/>
    </font>
    <font>
      <name val="Calibri"/>
      <family val="2"/>
      <color indexed="8"/>
      <sz val="11"/>
    </font>
    <font>
      <name val="Calibri"/>
      <family val="2"/>
      <b val="1"/>
      <sz val="10"/>
    </font>
    <font>
      <name val="Calibri"/>
      <family val="2"/>
      <b val="1"/>
      <color indexed="56"/>
      <sz val="11"/>
    </font>
    <font>
      <name val="Calibri"/>
      <family val="2"/>
      <b val="1"/>
      <color indexed="56"/>
      <sz val="14"/>
    </font>
    <font>
      <name val="Calibri"/>
      <family val="2"/>
      <color indexed="56"/>
      <sz val="14"/>
      <u val="double"/>
    </font>
    <font>
      <name val="Calibri"/>
      <family val="2"/>
      <color indexed="56"/>
      <sz val="11"/>
    </font>
    <font>
      <name val="Calibri"/>
      <family val="2"/>
      <b val="1"/>
      <color indexed="56"/>
      <sz val="10"/>
    </font>
    <font>
      <name val="Calibri"/>
      <family val="2"/>
      <b val="1"/>
      <sz val="11"/>
      <u val="double"/>
    </font>
    <font>
      <name val="Calibri"/>
      <family val="2"/>
      <b val="1"/>
      <color indexed="8"/>
      <sz val="11"/>
    </font>
    <font>
      <name val="Calibri"/>
      <family val="2"/>
      <b val="1"/>
      <color indexed="30"/>
      <sz val="10"/>
    </font>
    <font>
      <name val="Calibri"/>
      <family val="2"/>
      <b val="1"/>
      <color indexed="30"/>
      <sz val="11"/>
    </font>
    <font>
      <b val="1"/>
      <color rgb="00FFFFFF"/>
    </font>
    <font>
      <b val="1"/>
      <sz val="10"/>
    </font>
  </fonts>
  <fills count="8">
    <fill>
      <patternFill/>
    </fill>
    <fill>
      <patternFill patternType="gray125"/>
    </fill>
    <fill>
      <patternFill patternType="solid">
        <fgColor indexed="9"/>
        <bgColor indexed="64"/>
      </patternFill>
    </fill>
    <fill>
      <patternFill patternType="solid">
        <fgColor indexed="44"/>
        <bgColor indexed="64"/>
      </patternFill>
    </fill>
    <fill>
      <patternFill patternType="solid">
        <fgColor indexed="31"/>
        <bgColor indexed="64"/>
      </patternFill>
    </fill>
    <fill>
      <patternFill patternType="solid">
        <fgColor rgb="001F3864"/>
      </patternFill>
    </fill>
    <fill>
      <patternFill patternType="solid">
        <fgColor rgb="00F8CBAD"/>
      </patternFill>
    </fill>
    <fill>
      <patternFill patternType="solid">
        <fgColor rgb="00D9D9D9"/>
      </patternFill>
    </fill>
  </fills>
  <borders count="66">
    <border>
      <left/>
      <right/>
      <top/>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bottom style="dotted">
        <color indexed="64"/>
      </bottom>
      <diagonal/>
    </border>
    <border>
      <left style="double">
        <color indexed="30"/>
      </left>
      <right/>
      <top/>
      <bottom/>
      <diagonal/>
    </border>
    <border>
      <left/>
      <right style="double">
        <color indexed="30"/>
      </right>
      <top/>
      <bottom/>
      <diagonal/>
    </border>
    <border>
      <left style="double">
        <color indexed="30"/>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30"/>
      </right>
      <top style="thin">
        <color indexed="64"/>
      </top>
      <bottom style="thin">
        <color indexed="64"/>
      </bottom>
      <diagonal/>
    </border>
    <border>
      <left style="thin">
        <color indexed="22"/>
      </left>
      <right style="double">
        <color indexed="30"/>
      </right>
      <top style="thin">
        <color indexed="22"/>
      </top>
      <bottom style="thin">
        <color indexed="22"/>
      </bottom>
      <diagonal/>
    </border>
    <border>
      <left style="thin">
        <color indexed="22"/>
      </left>
      <right style="thin">
        <color indexed="22"/>
      </right>
      <top style="thin">
        <color indexed="22"/>
      </top>
      <bottom style="double">
        <color indexed="30"/>
      </bottom>
      <diagonal/>
    </border>
    <border>
      <left style="double">
        <color indexed="3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30"/>
      </right>
      <top style="thin">
        <color indexed="64"/>
      </top>
      <bottom/>
      <diagonal/>
    </border>
    <border>
      <left style="thin">
        <color indexed="22"/>
      </left>
      <right style="double">
        <color indexed="30"/>
      </right>
      <top style="thin">
        <color indexed="22"/>
      </top>
      <bottom style="double">
        <color indexed="3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22"/>
      </left>
      <right/>
      <top style="thin">
        <color indexed="22"/>
      </top>
      <bottom style="thin">
        <color indexed="22"/>
      </bottom>
      <diagonal/>
    </border>
    <border>
      <left style="thin">
        <color indexed="22"/>
      </left>
      <right/>
      <top style="thin">
        <color indexed="22"/>
      </top>
      <bottom style="double">
        <color indexed="30"/>
      </bottom>
      <diagonal/>
    </border>
    <border>
      <left style="double">
        <color indexed="30"/>
      </left>
      <right style="thin">
        <color indexed="22"/>
      </right>
      <top style="thin">
        <color indexed="22"/>
      </top>
      <bottom style="thin">
        <color indexed="22"/>
      </bottom>
      <diagonal/>
    </border>
    <border>
      <left style="double">
        <color indexed="30"/>
      </left>
      <right style="thin">
        <color indexed="22"/>
      </right>
      <top style="thin">
        <color indexed="22"/>
      </top>
      <bottom style="double">
        <color indexed="30"/>
      </bottom>
      <diagonal/>
    </border>
    <border>
      <left/>
      <right/>
      <top style="dotted">
        <color indexed="64"/>
      </top>
      <bottom/>
      <diagonal/>
    </border>
    <border>
      <left style="thin">
        <color indexed="64"/>
      </left>
      <right style="thin">
        <color indexed="64"/>
      </right>
      <top style="thin">
        <color indexed="30"/>
      </top>
      <bottom/>
      <diagonal/>
    </border>
    <border>
      <left style="thin">
        <color indexed="64"/>
      </left>
      <right style="thin">
        <color indexed="64"/>
      </right>
      <top/>
      <bottom style="thin">
        <color indexed="64"/>
      </bottom>
      <diagonal/>
    </border>
    <border>
      <left style="thin">
        <color indexed="64"/>
      </left>
      <right/>
      <top style="thin">
        <color indexed="30"/>
      </top>
      <bottom/>
      <diagonal/>
    </border>
    <border>
      <left style="thin">
        <color indexed="64"/>
      </left>
      <right/>
      <top/>
      <bottom style="thin">
        <color indexed="64"/>
      </bottom>
      <diagonal/>
    </border>
    <border>
      <left style="thin">
        <color indexed="22"/>
      </left>
      <right style="thin">
        <color indexed="22"/>
      </right>
      <top style="double">
        <color indexed="30"/>
      </top>
      <bottom style="thin">
        <color indexed="22"/>
      </bottom>
      <diagonal/>
    </border>
    <border>
      <left style="double">
        <color indexed="30"/>
      </left>
      <right/>
      <top style="double">
        <color indexed="30"/>
      </top>
      <bottom/>
      <diagonal/>
    </border>
    <border>
      <left/>
      <right/>
      <top style="double">
        <color indexed="30"/>
      </top>
      <bottom/>
      <diagonal/>
    </border>
    <border>
      <left/>
      <right style="double">
        <color indexed="30"/>
      </right>
      <top style="double">
        <color indexed="30"/>
      </top>
      <bottom/>
      <diagonal/>
    </border>
    <border>
      <left style="double">
        <color indexed="30"/>
      </left>
      <right style="thin">
        <color indexed="22"/>
      </right>
      <top style="double">
        <color indexed="30"/>
      </top>
      <bottom/>
      <diagonal/>
    </border>
    <border>
      <left style="double">
        <color indexed="30"/>
      </left>
      <right style="thin">
        <color indexed="22"/>
      </right>
      <top/>
      <bottom/>
      <diagonal/>
    </border>
    <border>
      <left style="double">
        <color indexed="30"/>
      </left>
      <right style="thin">
        <color indexed="22"/>
      </right>
      <top/>
      <bottom style="double">
        <color indexed="30"/>
      </bottom>
      <diagonal/>
    </border>
    <border>
      <left style="double">
        <color indexed="30"/>
      </left>
      <right style="thin">
        <color indexed="64"/>
      </right>
      <top style="thin">
        <color indexed="30"/>
      </top>
      <bottom/>
      <diagonal/>
    </border>
    <border>
      <left style="double">
        <color indexed="30"/>
      </left>
      <right style="thin">
        <color indexed="64"/>
      </right>
      <top/>
      <bottom style="thin">
        <color indexed="64"/>
      </bottom>
      <diagonal/>
    </border>
    <border>
      <left style="double">
        <color indexed="30"/>
      </left>
      <right style="thin">
        <color indexed="64"/>
      </right>
      <top style="thin">
        <color indexed="30"/>
      </top>
      <bottom style="thin">
        <color indexed="64"/>
      </bottom>
      <diagonal/>
    </border>
    <border>
      <left style="thin">
        <color indexed="64"/>
      </left>
      <right style="thin">
        <color indexed="64"/>
      </right>
      <top style="thin">
        <color indexed="30"/>
      </top>
      <bottom style="thin">
        <color indexed="64"/>
      </bottom>
      <diagonal/>
    </border>
    <border>
      <left style="thin">
        <color indexed="64"/>
      </left>
      <right style="double">
        <color indexed="30"/>
      </right>
      <top style="thin">
        <color indexed="30"/>
      </top>
      <bottom style="thin">
        <color indexed="64"/>
      </bottom>
      <diagonal/>
    </border>
    <border>
      <left style="double">
        <color indexed="30"/>
      </left>
      <right style="thin">
        <color indexed="22"/>
      </right>
      <top style="double">
        <color indexed="30"/>
      </top>
      <bottom style="thin">
        <color indexed="22"/>
      </bottom>
      <diagonal/>
    </border>
    <border>
      <left style="thin">
        <color indexed="22"/>
      </left>
      <right style="double">
        <color indexed="30"/>
      </right>
      <top style="double">
        <color indexed="30"/>
      </top>
      <bottom style="thin">
        <color indexed="22"/>
      </bottom>
      <diagonal/>
    </border>
    <border>
      <left style="thin">
        <color indexed="22"/>
      </left>
      <right/>
      <top style="double">
        <color indexed="30"/>
      </top>
      <bottom/>
      <diagonal/>
    </border>
    <border>
      <left style="thin">
        <color indexed="22"/>
      </left>
      <right/>
      <top/>
      <bottom style="thin">
        <color indexed="22"/>
      </bottom>
      <diagonal/>
    </border>
    <border>
      <left style="thin">
        <color indexed="22"/>
      </left>
      <right style="thin">
        <color indexed="22"/>
      </right>
      <top style="double">
        <color indexed="30"/>
      </top>
      <bottom/>
      <diagonal/>
    </border>
    <border>
      <left style="thin">
        <color indexed="22"/>
      </left>
      <right style="thin">
        <color indexed="22"/>
      </right>
      <top/>
      <bottom style="thin">
        <color indexed="22"/>
      </bottom>
      <diagonal/>
    </border>
    <border>
      <left style="double">
        <color indexed="30"/>
      </left>
      <right style="double">
        <color indexed="30"/>
      </right>
      <top style="double">
        <color indexed="30"/>
      </top>
      <bottom/>
      <diagonal/>
    </border>
    <border>
      <left style="double">
        <color indexed="30"/>
      </left>
      <right style="double">
        <color indexed="30"/>
      </right>
      <top/>
      <bottom/>
      <diagonal/>
    </border>
    <border>
      <left style="thin">
        <color indexed="64"/>
      </left>
      <right/>
      <top/>
      <bottom/>
      <diagonal/>
    </border>
    <border>
      <left style="double">
        <color indexed="30"/>
      </left>
      <right style="thin">
        <color indexed="22"/>
      </right>
      <top style="double">
        <color indexed="30"/>
      </top>
      <bottom style="double">
        <color indexed="30"/>
      </bottom>
      <diagonal/>
    </border>
    <border>
      <left style="double">
        <color indexed="30"/>
      </left>
      <right style="thin">
        <color indexed="64"/>
      </right>
      <top/>
      <bottom/>
      <diagonal/>
    </border>
    <border>
      <left style="thin">
        <color indexed="64"/>
      </left>
      <right style="thin">
        <color indexed="64"/>
      </right>
      <top/>
      <bottom/>
      <diagonal/>
    </border>
    <border>
      <left style="thin">
        <color indexed="22"/>
      </left>
      <right/>
      <top/>
      <bottom/>
      <diagonal/>
    </border>
    <border>
      <left style="thin">
        <color indexed="22"/>
      </left>
      <right style="thin">
        <color indexed="22"/>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22"/>
      </right>
      <top style="double">
        <color indexed="30"/>
      </top>
      <bottom/>
      <diagonal/>
    </border>
    <border>
      <left/>
      <right/>
      <top style="double">
        <color indexed="30"/>
      </top>
      <bottom style="thin">
        <color indexed="22"/>
      </bottom>
      <diagonal/>
    </border>
    <border>
      <left/>
      <right style="thin">
        <color indexed="22"/>
      </right>
      <top style="double">
        <color indexed="30"/>
      </top>
      <bottom style="thin">
        <color indexed="22"/>
      </bottom>
      <diagonal/>
    </border>
    <border>
      <left style="thin">
        <color indexed="22"/>
      </left>
      <right/>
      <top style="double">
        <color indexed="30"/>
      </top>
      <bottom style="thin">
        <color indexed="22"/>
      </bottom>
      <diagonal/>
    </border>
    <border>
      <left/>
      <right/>
      <top style="thin">
        <color indexed="30"/>
      </top>
      <bottom/>
      <diagonal/>
    </border>
    <border>
      <left/>
      <right style="thin">
        <color indexed="64"/>
      </right>
      <top style="thin">
        <color indexed="30"/>
      </top>
      <bottom/>
      <diagonal/>
    </border>
    <border>
      <left/>
      <right/>
      <top style="thin">
        <color indexed="30"/>
      </top>
      <bottom style="thin">
        <color indexed="64"/>
      </bottom>
      <diagonal/>
    </border>
    <border>
      <left/>
      <right style="thin">
        <color indexed="64"/>
      </right>
      <top style="thin">
        <color indexed="30"/>
      </top>
      <bottom style="thin">
        <color indexed="64"/>
      </bottom>
      <diagonal/>
    </border>
    <border>
      <left style="thin">
        <color indexed="64"/>
      </left>
      <right/>
      <top style="thin">
        <color indexed="30"/>
      </top>
      <bottom style="thin">
        <color indexed="64"/>
      </bottom>
      <diagonal/>
    </border>
    <border>
      <left style="thin">
        <color rgb="00BFBFBF"/>
      </left>
      <right style="thin">
        <color rgb="00BFBFBF"/>
      </right>
      <top style="thin">
        <color rgb="00BFBFBF"/>
      </top>
      <bottom style="thin">
        <color rgb="00BFBFBF"/>
      </bottom>
    </border>
  </borders>
  <cellStyleXfs count="2">
    <xf numFmtId="0" fontId="0" fillId="0" borderId="0"/>
    <xf numFmtId="9" fontId="4" fillId="0" borderId="0"/>
  </cellStyleXfs>
  <cellXfs count="131">
    <xf numFmtId="0" fontId="0" fillId="0" borderId="0" pivotButton="0" quotePrefix="0" xfId="0"/>
    <xf numFmtId="0" fontId="0" fillId="0" borderId="0" applyAlignment="1" pivotButton="0" quotePrefix="0" xfId="0">
      <alignment vertical="center"/>
    </xf>
    <xf numFmtId="0" fontId="1" fillId="2" borderId="0" applyAlignment="1" pivotButton="0" quotePrefix="0" xfId="0">
      <alignment vertical="center"/>
    </xf>
    <xf numFmtId="0" fontId="3" fillId="0" borderId="0" applyAlignment="1" pivotButton="0" quotePrefix="0" xfId="0">
      <alignment horizontal="center" vertical="center"/>
    </xf>
    <xf numFmtId="0" fontId="3" fillId="2" borderId="0" applyAlignment="1" pivotButton="0" quotePrefix="0" xfId="0">
      <alignment horizontal="center" vertical="center"/>
    </xf>
    <xf numFmtId="0" fontId="0" fillId="0" borderId="3" applyAlignment="1" pivotButton="0" quotePrefix="0" xfId="0">
      <alignment vertical="center"/>
    </xf>
    <xf numFmtId="0" fontId="9" fillId="2" borderId="4" applyAlignment="1" pivotButton="0" quotePrefix="0" xfId="0">
      <alignment vertical="center"/>
    </xf>
    <xf numFmtId="0" fontId="9" fillId="2" borderId="0" applyAlignment="1" pivotButton="0" quotePrefix="0" xfId="0">
      <alignment vertical="center"/>
    </xf>
    <xf numFmtId="0" fontId="9" fillId="2" borderId="5" applyAlignment="1" pivotButton="0" quotePrefix="0" xfId="0">
      <alignment vertical="center"/>
    </xf>
    <xf numFmtId="0" fontId="6" fillId="2" borderId="4" applyAlignment="1" pivotButton="0" quotePrefix="0" xfId="0">
      <alignment horizontal="right" vertical="center"/>
    </xf>
    <xf numFmtId="0" fontId="6" fillId="2" borderId="0" applyAlignment="1" pivotButton="0" quotePrefix="0" xfId="0">
      <alignment horizontal="right" vertical="center"/>
    </xf>
    <xf numFmtId="0" fontId="2" fillId="3" borderId="6" applyAlignment="1" pivotButton="0" quotePrefix="0" xfId="0">
      <alignment horizontal="center" vertical="center"/>
    </xf>
    <xf numFmtId="0" fontId="2" fillId="0" borderId="7" applyAlignment="1" applyProtection="1" pivotButton="0" quotePrefix="0" xfId="0">
      <alignment horizontal="center" vertical="center"/>
      <protection locked="0" hidden="0"/>
    </xf>
    <xf numFmtId="0" fontId="2" fillId="3" borderId="7" applyAlignment="1" pivotButton="0" quotePrefix="0" xfId="0">
      <alignment horizontal="center" vertical="center"/>
    </xf>
    <xf numFmtId="0" fontId="2" fillId="0" borderId="8" applyAlignment="1" applyProtection="1" pivotButton="0" quotePrefix="0" xfId="0">
      <alignment horizontal="center" vertical="center"/>
      <protection locked="0" hidden="0"/>
    </xf>
    <xf numFmtId="0" fontId="5" fillId="3" borderId="9" applyAlignment="1" pivotButton="0" quotePrefix="0" xfId="0">
      <alignment horizontal="center" vertical="center"/>
    </xf>
    <xf numFmtId="10" fontId="2" fillId="4" borderId="10" applyAlignment="1" pivotButton="0" quotePrefix="0" xfId="1">
      <alignment horizontal="center" vertical="center"/>
    </xf>
    <xf numFmtId="9" fontId="2" fillId="4" borderId="10" applyAlignment="1" pivotButton="0" quotePrefix="0" xfId="1">
      <alignment horizontal="center" vertical="center"/>
    </xf>
    <xf numFmtId="0" fontId="2" fillId="3" borderId="11" applyAlignment="1" pivotButton="0" quotePrefix="0" xfId="0">
      <alignment horizontal="center" vertical="center"/>
    </xf>
    <xf numFmtId="0" fontId="2" fillId="0" borderId="12" applyAlignment="1" applyProtection="1" pivotButton="0" quotePrefix="0" xfId="0">
      <alignment horizontal="center" vertical="center"/>
      <protection locked="0" hidden="0"/>
    </xf>
    <xf numFmtId="0" fontId="2" fillId="3" borderId="12" applyAlignment="1" pivotButton="0" quotePrefix="0" xfId="0">
      <alignment horizontal="center" vertical="center"/>
    </xf>
    <xf numFmtId="0" fontId="2" fillId="0" borderId="13" applyAlignment="1" applyProtection="1" pivotButton="0" quotePrefix="0" xfId="0">
      <alignment horizontal="center" vertical="center"/>
      <protection locked="0" hidden="0"/>
    </xf>
    <xf numFmtId="0" fontId="2" fillId="4" borderId="2" applyAlignment="1" pivotButton="0" quotePrefix="0" xfId="0">
      <alignment horizontal="center" vertical="center"/>
    </xf>
    <xf numFmtId="0" fontId="2" fillId="4" borderId="9" applyAlignment="1" pivotButton="0" quotePrefix="0" xfId="0">
      <alignment horizontal="center" vertical="center"/>
    </xf>
    <xf numFmtId="9" fontId="2" fillId="4" borderId="14" applyAlignment="1" pivotButton="0" quotePrefix="0" xfId="1">
      <alignment horizontal="center" vertical="center"/>
    </xf>
    <xf numFmtId="0" fontId="10" fillId="4" borderId="7" applyAlignment="1" applyProtection="1" pivotButton="0" quotePrefix="0" xfId="0">
      <alignment horizontal="center" vertical="center"/>
      <protection locked="0" hidden="0"/>
    </xf>
    <xf numFmtId="0" fontId="10" fillId="4" borderId="8" applyAlignment="1" applyProtection="1" pivotButton="0" quotePrefix="0" xfId="0">
      <alignment horizontal="center" vertical="center"/>
      <protection locked="0" hidden="0"/>
    </xf>
    <xf numFmtId="0" fontId="2" fillId="0" borderId="15" applyAlignment="1" applyProtection="1" pivotButton="0" quotePrefix="0" xfId="0">
      <alignment horizontal="center" vertical="center"/>
      <protection locked="0" hidden="0"/>
    </xf>
    <xf numFmtId="0" fontId="2" fillId="0" borderId="16" applyAlignment="1" applyProtection="1" pivotButton="0" quotePrefix="0" xfId="0">
      <alignment horizontal="center" vertical="center"/>
      <protection locked="0" hidden="0"/>
    </xf>
    <xf numFmtId="0" fontId="2" fillId="4" borderId="17" applyAlignment="1" pivotButton="0" quotePrefix="0" xfId="0">
      <alignment horizontal="center" vertical="center"/>
    </xf>
    <xf numFmtId="10" fontId="2" fillId="4" borderId="18" applyAlignment="1" pivotButton="0" quotePrefix="0" xfId="1">
      <alignment horizontal="center" vertical="center"/>
    </xf>
    <xf numFmtId="0" fontId="10" fillId="4" borderId="6" applyAlignment="1" applyProtection="1" pivotButton="0" quotePrefix="0" xfId="0">
      <alignment horizontal="center" vertical="center"/>
      <protection locked="0" hidden="0"/>
    </xf>
    <xf numFmtId="0" fontId="2" fillId="0" borderId="6" applyAlignment="1" applyProtection="1" pivotButton="0" quotePrefix="0" xfId="0">
      <alignment horizontal="center" vertical="center"/>
      <protection locked="0" hidden="0"/>
    </xf>
    <xf numFmtId="0" fontId="2" fillId="0" borderId="11" applyAlignment="1" applyProtection="1" pivotButton="0" quotePrefix="0" xfId="0">
      <alignment horizontal="center" vertical="center"/>
      <protection locked="0" hidden="0"/>
    </xf>
    <xf numFmtId="0" fontId="5" fillId="3" borderId="19" applyAlignment="1" pivotButton="0" quotePrefix="0" xfId="0">
      <alignment horizontal="center" vertical="center"/>
    </xf>
    <xf numFmtId="0" fontId="2" fillId="4" borderId="19" applyAlignment="1" pivotButton="0" quotePrefix="0" xfId="0">
      <alignment horizontal="center" vertical="center"/>
    </xf>
    <xf numFmtId="9" fontId="2" fillId="4" borderId="20" applyAlignment="1" pivotButton="0" quotePrefix="0" xfId="1">
      <alignment horizontal="center" vertical="center"/>
    </xf>
    <xf numFmtId="0" fontId="13" fillId="4" borderId="6" applyAlignment="1" applyProtection="1" pivotButton="0" quotePrefix="0" xfId="0">
      <alignment horizontal="center" vertical="center"/>
      <protection locked="0" hidden="0"/>
    </xf>
    <xf numFmtId="0" fontId="13" fillId="4" borderId="7" applyAlignment="1" applyProtection="1" pivotButton="0" quotePrefix="0" xfId="0">
      <alignment horizontal="center" vertical="center"/>
      <protection locked="0" hidden="0"/>
    </xf>
    <xf numFmtId="0" fontId="13" fillId="4" borderId="8" applyAlignment="1" applyProtection="1" pivotButton="0" quotePrefix="0" xfId="0">
      <alignment horizontal="center" vertical="center"/>
      <protection locked="0" hidden="0"/>
    </xf>
    <xf numFmtId="0" fontId="12" fillId="3" borderId="6" applyAlignment="1" pivotButton="0" quotePrefix="0" xfId="0">
      <alignment horizontal="center" vertical="center"/>
    </xf>
    <xf numFmtId="0" fontId="14" fillId="0" borderId="7" applyAlignment="1" applyProtection="1" pivotButton="0" quotePrefix="0" xfId="0">
      <alignment horizontal="center" vertical="center"/>
      <protection locked="0" hidden="0"/>
    </xf>
    <xf numFmtId="0" fontId="12" fillId="3" borderId="7" applyAlignment="1" pivotButton="0" quotePrefix="0" xfId="0">
      <alignment horizontal="center" vertical="center"/>
    </xf>
    <xf numFmtId="0" fontId="14" fillId="0" borderId="8" applyAlignment="1" applyProtection="1" pivotButton="0" quotePrefix="0" xfId="0">
      <alignment horizontal="center" vertical="center"/>
      <protection locked="0" hidden="0"/>
    </xf>
    <xf numFmtId="0" fontId="13" fillId="3" borderId="19" applyAlignment="1" pivotButton="0" quotePrefix="0" xfId="0">
      <alignment horizontal="center" vertical="center"/>
    </xf>
    <xf numFmtId="0" fontId="13" fillId="3" borderId="2" applyAlignment="1" pivotButton="0" quotePrefix="0" xfId="0">
      <alignment horizontal="center" vertical="center"/>
    </xf>
    <xf numFmtId="0" fontId="13" fillId="3" borderId="9" applyAlignment="1" pivotButton="0" quotePrefix="0" xfId="0">
      <alignment horizontal="center" vertical="center"/>
    </xf>
    <xf numFmtId="0" fontId="3" fillId="0" borderId="0" applyAlignment="1" applyProtection="1" pivotButton="0" quotePrefix="0" xfId="0">
      <alignment horizontal="center" vertical="center"/>
      <protection locked="0" hidden="0"/>
    </xf>
    <xf numFmtId="0" fontId="5" fillId="3" borderId="2" applyAlignment="1" pivotButton="0" quotePrefix="0" xfId="0">
      <alignment horizontal="center" vertical="center"/>
    </xf>
    <xf numFmtId="0" fontId="2" fillId="0" borderId="7" applyAlignment="1" applyProtection="1" pivotButton="0" quotePrefix="0" xfId="0">
      <alignment horizontal="center" vertical="center" wrapText="1"/>
      <protection locked="0" hidden="0"/>
    </xf>
    <xf numFmtId="0" fontId="0" fillId="0" borderId="21" applyAlignment="1" pivotButton="0" quotePrefix="0" xfId="0">
      <alignment horizontal="center" vertical="center"/>
    </xf>
    <xf numFmtId="0" fontId="5" fillId="3" borderId="26" applyAlignment="1" pivotButton="0" quotePrefix="0" xfId="0">
      <alignment horizontal="center" vertical="center"/>
    </xf>
    <xf numFmtId="0" fontId="5" fillId="3" borderId="2" applyAlignment="1" pivotButton="0" quotePrefix="0" xfId="0">
      <alignment horizontal="center" vertical="center"/>
    </xf>
    <xf numFmtId="0" fontId="5" fillId="3" borderId="12" applyAlignment="1" pivotButton="0" quotePrefix="0" xfId="0">
      <alignment horizontal="center" vertical="center"/>
    </xf>
    <xf numFmtId="0" fontId="5" fillId="3" borderId="23" applyAlignment="1" pivotButton="0" quotePrefix="0" xfId="0">
      <alignment horizontal="center" vertical="center"/>
    </xf>
    <xf numFmtId="0" fontId="7" fillId="2" borderId="27" applyAlignment="1" pivotButton="0" quotePrefix="0" xfId="0">
      <alignment horizontal="center" vertical="center"/>
    </xf>
    <xf numFmtId="0" fontId="7" fillId="2" borderId="28" applyAlignment="1" pivotButton="0" quotePrefix="0" xfId="0">
      <alignment horizontal="center" vertical="center"/>
    </xf>
    <xf numFmtId="0" fontId="7" fillId="2" borderId="29" applyAlignment="1" pivotButton="0" quotePrefix="0" xfId="0">
      <alignment horizontal="center" vertical="center"/>
    </xf>
    <xf numFmtId="0" fontId="8" fillId="2" borderId="4" applyAlignment="1" pivotButton="0" quotePrefix="0" xfId="0">
      <alignment horizontal="center" vertical="center"/>
    </xf>
    <xf numFmtId="0" fontId="8" fillId="2" borderId="0" applyAlignment="1" pivotButton="0" quotePrefix="0" xfId="0">
      <alignment horizontal="center" vertical="center"/>
    </xf>
    <xf numFmtId="0" fontId="8" fillId="2" borderId="5" applyAlignment="1" pivotButton="0" quotePrefix="0" xfId="0">
      <alignment horizontal="center" vertical="center"/>
    </xf>
    <xf numFmtId="0" fontId="5" fillId="3" borderId="16" applyAlignment="1" pivotButton="0" quotePrefix="0" xfId="0">
      <alignment horizontal="center" vertical="center"/>
    </xf>
    <xf numFmtId="0" fontId="5" fillId="3" borderId="25" applyAlignment="1" pivotButton="0" quotePrefix="0" xfId="0">
      <alignment horizontal="center" vertical="center"/>
    </xf>
    <xf numFmtId="0" fontId="11" fillId="3" borderId="30" applyAlignment="1" pivotButton="0" quotePrefix="0" xfId="0">
      <alignment horizontal="center" vertical="center" wrapText="1"/>
    </xf>
    <xf numFmtId="0" fontId="11" fillId="3" borderId="31" applyAlignment="1" pivotButton="0" quotePrefix="0" xfId="0">
      <alignment horizontal="center" vertical="center" wrapText="1"/>
    </xf>
    <xf numFmtId="0" fontId="11" fillId="3" borderId="32" applyAlignment="1" pivotButton="0" quotePrefix="0" xfId="0">
      <alignment horizontal="center" vertical="center" wrapText="1"/>
    </xf>
    <xf numFmtId="14" fontId="2" fillId="2" borderId="1" applyAlignment="1" applyProtection="1" pivotButton="0" quotePrefix="0" xfId="0">
      <alignment horizontal="center" vertical="center"/>
      <protection locked="0" hidden="0"/>
    </xf>
    <xf numFmtId="0" fontId="5" fillId="3" borderId="11" applyAlignment="1" pivotButton="0" quotePrefix="0" xfId="0">
      <alignment horizontal="center" vertical="center" wrapText="1"/>
    </xf>
    <xf numFmtId="0" fontId="5" fillId="3" borderId="34" applyAlignment="1" pivotButton="0" quotePrefix="0" xfId="0">
      <alignment horizontal="center" vertical="center" wrapText="1"/>
    </xf>
    <xf numFmtId="0" fontId="5" fillId="3" borderId="12" applyAlignment="1" pivotButton="0" quotePrefix="0" xfId="0">
      <alignment horizontal="center" vertical="center" wrapText="1"/>
    </xf>
    <xf numFmtId="0" fontId="5" fillId="3" borderId="23" applyAlignment="1" pivotButton="0" quotePrefix="0" xfId="0">
      <alignment horizontal="center" vertical="center" wrapText="1"/>
    </xf>
    <xf numFmtId="0" fontId="5" fillId="3" borderId="42" applyAlignment="1" pivotButton="0" quotePrefix="0" xfId="0">
      <alignment horizontal="center" vertical="center" wrapText="1"/>
    </xf>
    <xf numFmtId="0" fontId="5" fillId="3" borderId="43" applyAlignment="1" pivotButton="0" quotePrefix="0" xfId="0">
      <alignment horizontal="center" vertical="center" wrapText="1"/>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5" fillId="3" borderId="38" applyAlignment="1" pivotButton="0" quotePrefix="0" xfId="0">
      <alignment horizontal="center" vertical="center"/>
    </xf>
    <xf numFmtId="0" fontId="5" fillId="3" borderId="39" applyAlignment="1" pivotButton="0" quotePrefix="0" xfId="0">
      <alignment horizontal="center" vertical="center"/>
    </xf>
    <xf numFmtId="0" fontId="5" fillId="3" borderId="40" applyAlignment="1" pivotButton="0" quotePrefix="0" xfId="0">
      <alignment horizontal="center" vertical="center"/>
    </xf>
    <xf numFmtId="0" fontId="5" fillId="3" borderId="41" applyAlignment="1" pivotButton="0" quotePrefix="0" xfId="0">
      <alignment horizontal="center" vertical="center"/>
    </xf>
    <xf numFmtId="0" fontId="5" fillId="3" borderId="22" applyAlignment="1" pivotButton="0" quotePrefix="0" xfId="0">
      <alignment horizontal="center" vertical="center" wrapText="1"/>
    </xf>
    <xf numFmtId="0" fontId="5" fillId="3" borderId="24" applyAlignment="1" pivotButton="0" quotePrefix="0" xfId="0">
      <alignment horizontal="center" vertical="center"/>
    </xf>
    <xf numFmtId="0" fontId="5" fillId="3" borderId="22" applyAlignment="1" pivotButton="0" quotePrefix="0" xfId="0">
      <alignment horizontal="center" vertical="center"/>
    </xf>
    <xf numFmtId="14" fontId="6" fillId="2" borderId="1" applyAlignment="1" applyProtection="1" pivotButton="0" quotePrefix="0" xfId="0">
      <alignment horizontal="center" vertical="center"/>
      <protection locked="0" hidden="0"/>
    </xf>
    <xf numFmtId="0" fontId="5" fillId="3" borderId="33" applyAlignment="1" pivotButton="0" quotePrefix="0" xfId="0">
      <alignment horizontal="center" vertical="center" wrapText="1"/>
    </xf>
    <xf numFmtId="0" fontId="5" fillId="3" borderId="35" applyAlignment="1" pivotButton="0" quotePrefix="0" xfId="0">
      <alignment horizontal="center" vertical="center"/>
    </xf>
    <xf numFmtId="0" fontId="5" fillId="3" borderId="36" applyAlignment="1" pivotButton="0" quotePrefix="0" xfId="0">
      <alignment horizontal="center" vertical="center"/>
    </xf>
    <xf numFmtId="0" fontId="5" fillId="3" borderId="37" applyAlignment="1" pivotButton="0" quotePrefix="0" xfId="0">
      <alignment horizontal="center" vertical="center"/>
    </xf>
    <xf numFmtId="0" fontId="7" fillId="2" borderId="44" applyAlignment="1" pivotButton="0" quotePrefix="0" xfId="0">
      <alignment horizontal="center" vertical="center"/>
    </xf>
    <xf numFmtId="0" fontId="0" fillId="0" borderId="28" pivotButton="0" quotePrefix="0" xfId="0"/>
    <xf numFmtId="0" fontId="0" fillId="0" borderId="29" pivotButton="0" quotePrefix="0" xfId="0"/>
    <xf numFmtId="0" fontId="8" fillId="2" borderId="45" applyAlignment="1" pivotButton="0" quotePrefix="0" xfId="0">
      <alignment horizontal="center" vertical="center"/>
    </xf>
    <xf numFmtId="0" fontId="0" fillId="0" borderId="5" pivotButton="0" quotePrefix="0" xfId="0"/>
    <xf numFmtId="0" fontId="0" fillId="0" borderId="1" applyProtection="1" pivotButton="0" quotePrefix="0" xfId="0">
      <protection locked="0" hidden="0"/>
    </xf>
    <xf numFmtId="0" fontId="5" fillId="3" borderId="6" applyAlignment="1" pivotButton="0" quotePrefix="0" xfId="0">
      <alignment horizontal="center" vertical="center" wrapText="1"/>
    </xf>
    <xf numFmtId="0" fontId="5" fillId="3" borderId="7" applyAlignment="1" pivotButton="0" quotePrefix="0" xfId="0">
      <alignment horizontal="center" vertical="center" wrapText="1"/>
    </xf>
    <xf numFmtId="0" fontId="5" fillId="3" borderId="15" applyAlignment="1" pivotButton="0" quotePrefix="0" xfId="0">
      <alignment horizontal="center" vertical="center"/>
    </xf>
    <xf numFmtId="0" fontId="0" fillId="0" borderId="54" pivotButton="0" quotePrefix="0" xfId="0"/>
    <xf numFmtId="0" fontId="0" fillId="0" borderId="55" pivotButton="0" quotePrefix="0" xfId="0"/>
    <xf numFmtId="0" fontId="16" fillId="0" borderId="0" pivotButton="0" quotePrefix="0" xfId="0"/>
    <xf numFmtId="0" fontId="0" fillId="0" borderId="34" pivotButton="0" quotePrefix="0" xfId="0"/>
    <xf numFmtId="0" fontId="0" fillId="0" borderId="23" pivotButton="0" quotePrefix="0" xfId="0"/>
    <xf numFmtId="0" fontId="0" fillId="0" borderId="25" pivotButton="0" quotePrefix="0" xfId="0"/>
    <xf numFmtId="0" fontId="15" fillId="5" borderId="0" applyAlignment="1" pivotButton="0" quotePrefix="0" xfId="0">
      <alignment horizontal="center" wrapText="1"/>
    </xf>
    <xf numFmtId="0" fontId="0" fillId="0" borderId="65" applyAlignment="1" pivotButton="0" quotePrefix="0" xfId="0">
      <alignment horizontal="center"/>
    </xf>
    <xf numFmtId="0" fontId="0" fillId="0" borderId="65" applyAlignment="1" pivotButton="0" quotePrefix="0" xfId="0">
      <alignment horizontal="left"/>
    </xf>
    <xf numFmtId="0" fontId="0" fillId="6" borderId="65" applyAlignment="1" pivotButton="0" quotePrefix="0" xfId="0">
      <alignment horizontal="center"/>
    </xf>
    <xf numFmtId="0" fontId="0" fillId="6" borderId="65" applyAlignment="1" pivotButton="0" quotePrefix="0" xfId="0">
      <alignment horizontal="left"/>
    </xf>
    <xf numFmtId="0" fontId="11" fillId="3" borderId="47" applyAlignment="1" pivotButton="0" quotePrefix="0" xfId="0">
      <alignment horizontal="center" vertical="center" wrapText="1"/>
    </xf>
    <xf numFmtId="0" fontId="5" fillId="3" borderId="26" applyAlignment="1" pivotButton="0" quotePrefix="0" xfId="0">
      <alignment horizontal="center" vertical="center" wrapText="1"/>
    </xf>
    <xf numFmtId="0" fontId="5" fillId="3" borderId="59" applyAlignment="1" pivotButton="0" quotePrefix="0" xfId="0">
      <alignment horizontal="center" vertical="center"/>
    </xf>
    <xf numFmtId="0" fontId="0" fillId="0" borderId="57" pivotButton="0" quotePrefix="0" xfId="0"/>
    <xf numFmtId="0" fontId="0" fillId="0" borderId="58" pivotButton="0" quotePrefix="0" xfId="0"/>
    <xf numFmtId="0" fontId="0" fillId="0" borderId="31" pivotButton="0" quotePrefix="0" xfId="0"/>
    <xf numFmtId="0" fontId="0" fillId="0" borderId="43" pivotButton="0" quotePrefix="0" xfId="0"/>
    <xf numFmtId="0" fontId="0" fillId="0" borderId="41" pivotButton="0" quotePrefix="0" xfId="0"/>
    <xf numFmtId="0" fontId="0" fillId="0" borderId="32" pivotButton="0" quotePrefix="0" xfId="0"/>
    <xf numFmtId="0" fontId="0" fillId="0" borderId="21" pivotButton="0" quotePrefix="0" xfId="0"/>
    <xf numFmtId="0" fontId="0" fillId="7" borderId="65" applyAlignment="1" pivotButton="0" quotePrefix="0" xfId="0">
      <alignment horizontal="center"/>
    </xf>
    <xf numFmtId="0" fontId="0" fillId="7" borderId="65" applyAlignment="1" pivotButton="0" quotePrefix="0" xfId="0">
      <alignment horizontal="left"/>
    </xf>
    <xf numFmtId="0" fontId="5" fillId="3" borderId="35" applyAlignment="1" pivotButton="0" quotePrefix="0" xfId="0">
      <alignment horizontal="center" vertical="center" wrapText="1"/>
    </xf>
    <xf numFmtId="0" fontId="5" fillId="3" borderId="36" applyAlignment="1" pivotButton="0" quotePrefix="0" xfId="0">
      <alignment horizontal="center" vertical="center" wrapText="1"/>
    </xf>
    <xf numFmtId="0" fontId="5" fillId="3" borderId="64" applyAlignment="1" pivotButton="0" quotePrefix="0" xfId="0">
      <alignment horizontal="center" vertical="center"/>
    </xf>
    <xf numFmtId="0" fontId="0" fillId="0" borderId="62" pivotButton="0" quotePrefix="0" xfId="0"/>
    <xf numFmtId="0" fontId="0" fillId="0" borderId="63" pivotButton="0" quotePrefix="0" xfId="0"/>
    <xf numFmtId="0" fontId="15" fillId="5" borderId="0" pivotButton="0" quotePrefix="0" xfId="0"/>
    <xf numFmtId="164" fontId="0" fillId="0" borderId="0" pivotButton="0" quotePrefix="0" xfId="0"/>
    <xf numFmtId="0" fontId="0" fillId="6" borderId="0" pivotButton="0" quotePrefix="0" xfId="0"/>
    <xf numFmtId="164" fontId="0" fillId="6" borderId="0" pivotButton="0" quotePrefix="0" xfId="0"/>
    <xf numFmtId="0" fontId="0" fillId="7" borderId="0" pivotButton="0" quotePrefix="0" xfId="0"/>
    <xf numFmtId="164" fontId="0" fillId="7" borderId="0" pivotButton="0" quotePrefix="0" xfId="0"/>
  </cellXfs>
  <cellStyles count="2">
    <cellStyle name="Normal" xfId="0" builtinId="0"/>
    <cellStyle name="Porcentaje" xfId="1" builtinId="5"/>
  </cellStyles>
  <dxfs count="32">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
      <font>
        <b val="1"/>
        <color theme="0"/>
      </font>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styles" Target="styles.xml" Id="rId43" /><Relationship Type="http://schemas.openxmlformats.org/officeDocument/2006/relationships/theme" Target="theme/theme1.xml" Id="rId44"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3:V44"/>
  <sheetViews>
    <sheetView showGridLines="0" zoomScale="95" zoomScaleNormal="95" workbookViewId="0">
      <selection activeCell="F31" sqref="F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46235</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n">
        <v>2</v>
      </c>
      <c r="F21" s="12" t="n"/>
      <c r="G21" s="12" t="n"/>
      <c r="H21" s="13">
        <f>SUM(C21:G21)</f>
        <v/>
      </c>
      <c r="I21" s="27" t="n">
        <v>1</v>
      </c>
      <c r="J21" s="32" t="n"/>
      <c r="K21" s="12" t="n">
        <v>1</v>
      </c>
      <c r="L21" s="12" t="n"/>
      <c r="M21" s="14" t="n"/>
      <c r="O21" s="4" t="n"/>
      <c r="R21" s="104">
        <f>IFERROR(VLOOKUP(INT($I$6)*100+11,METEO_SADM!$A$1:$L$505,5,FALSE),"s/d")</f>
        <v/>
      </c>
      <c r="S21" s="104">
        <f>IFERROR(VLOOKUP(INT($I$6)*100+11,METEO_SADM!$A$1:$L$505,6,FALSE),"s/d")</f>
        <v/>
      </c>
      <c r="T21" s="104">
        <f>IFERROR(VLOOKUP(INT($I$6)*100+11,METEO_SADM!$A$1:$L$505,7,FALSE),"s/d")</f>
        <v/>
      </c>
      <c r="U21" s="104">
        <f>IFERROR(VLOOKUP(INT($I$6)*100+11,METEO_SADM!$A$1:$L$505,8,FALSE),"s/d")</f>
        <v/>
      </c>
      <c r="V21" s="105">
        <f>IFERROR(VLOOKUP(INT($I$6)*100+11,METEO_SADM!$A$1:$L$505,9,FALSE),"s/d")</f>
        <v/>
      </c>
    </row>
    <row r="22" ht="19.5" customFormat="1" customHeight="1" s="3">
      <c r="A22" s="1" t="n"/>
      <c r="B22" s="11" t="inlineStr">
        <is>
          <t>12 a 13</t>
        </is>
      </c>
      <c r="C22" s="12" t="n"/>
      <c r="D22" s="12" t="n"/>
      <c r="E22" s="12" t="n">
        <v>7</v>
      </c>
      <c r="F22" s="12" t="n"/>
      <c r="G22" s="12" t="n"/>
      <c r="H22" s="13">
        <f>SUM(C22:G22)</f>
        <v/>
      </c>
      <c r="I22" s="27" t="n">
        <v>1</v>
      </c>
      <c r="J22" s="32" t="n"/>
      <c r="K22" s="12" t="n">
        <v>1</v>
      </c>
      <c r="L22" s="12" t="n"/>
      <c r="M22" s="14" t="n"/>
      <c r="O22" s="4" t="n"/>
      <c r="R22" s="104">
        <f>IFERROR(VLOOKUP(INT($I$6)*100+12,METEO_SADM!$A$1:$L$505,5,FALSE),"s/d")</f>
        <v/>
      </c>
      <c r="S22" s="104">
        <f>IFERROR(VLOOKUP(INT($I$6)*100+12,METEO_SADM!$A$1:$L$505,6,FALSE),"s/d")</f>
        <v/>
      </c>
      <c r="T22" s="104">
        <f>IFERROR(VLOOKUP(INT($I$6)*100+12,METEO_SADM!$A$1:$L$505,7,FALSE),"s/d")</f>
        <v/>
      </c>
      <c r="U22" s="104">
        <f>IFERROR(VLOOKUP(INT($I$6)*100+12,METEO_SADM!$A$1:$L$505,8,FALSE),"s/d")</f>
        <v/>
      </c>
      <c r="V22" s="105">
        <f>IFERROR(VLOOKUP(INT($I$6)*100+12,METEO_SADM!$A$1:$L$505,9,FALSE),"s/d")</f>
        <v/>
      </c>
    </row>
    <row r="23" ht="19.5" customFormat="1" customHeight="1" s="3">
      <c r="A23" s="1" t="n"/>
      <c r="B23" s="11" t="inlineStr">
        <is>
          <t>13 a 14</t>
        </is>
      </c>
      <c r="C23" s="12" t="n"/>
      <c r="D23" s="12" t="n"/>
      <c r="E23" s="12" t="n">
        <v>15</v>
      </c>
      <c r="F23" s="12" t="n">
        <v>14</v>
      </c>
      <c r="G23" s="12" t="n"/>
      <c r="H23" s="13">
        <f>SUM(C23:G23)</f>
        <v/>
      </c>
      <c r="I23" s="27" t="n"/>
      <c r="J23" s="32" t="n"/>
      <c r="K23" s="12" t="n">
        <v>1</v>
      </c>
      <c r="L23" s="12" t="n"/>
      <c r="M23" s="14" t="n"/>
      <c r="O23" s="4" t="n"/>
      <c r="R23" s="104">
        <f>IFERROR(VLOOKUP(INT($I$6)*100+13,METEO_SADM!$A$1:$L$505,5,FALSE),"s/d")</f>
        <v/>
      </c>
      <c r="S23" s="104">
        <f>IFERROR(VLOOKUP(INT($I$6)*100+13,METEO_SADM!$A$1:$L$505,6,FALSE),"s/d")</f>
        <v/>
      </c>
      <c r="T23" s="104">
        <f>IFERROR(VLOOKUP(INT($I$6)*100+13,METEO_SADM!$A$1:$L$505,7,FALSE),"s/d")</f>
        <v/>
      </c>
      <c r="U23" s="104">
        <f>IFERROR(VLOOKUP(INT($I$6)*100+13,METEO_SADM!$A$1:$L$505,8,FALSE),"s/d")</f>
        <v/>
      </c>
      <c r="V23" s="105">
        <f>IFERROR(VLOOKUP(INT($I$6)*100+13,METEO_SADM!$A$1:$L$505,9,FALSE),"s/d")</f>
        <v/>
      </c>
    </row>
    <row r="24" ht="19.5" customFormat="1" customHeight="1" s="3">
      <c r="A24" s="1" t="n"/>
      <c r="B24" s="11" t="inlineStr">
        <is>
          <t xml:space="preserve">14 a 15 </t>
        </is>
      </c>
      <c r="C24" s="12" t="n"/>
      <c r="D24" s="12" t="n"/>
      <c r="E24" s="12" t="n">
        <v>2</v>
      </c>
      <c r="F24" s="12" t="n"/>
      <c r="G24" s="12" t="n">
        <v>1</v>
      </c>
      <c r="H24" s="13">
        <f>SUM(C24:G24)</f>
        <v/>
      </c>
      <c r="I24" s="27" t="n"/>
      <c r="J24" s="32" t="n"/>
      <c r="K24" s="12" t="n">
        <v>1</v>
      </c>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c r="D25" s="12" t="n"/>
      <c r="E25" s="12" t="n">
        <v>20</v>
      </c>
      <c r="F25" s="12" t="n">
        <v>8</v>
      </c>
      <c r="G25" s="12" t="n"/>
      <c r="H25" s="13">
        <f>SUM(C25:G25)</f>
        <v/>
      </c>
      <c r="I25" s="27" t="n"/>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19</v>
      </c>
      <c r="F26" s="12" t="n">
        <v>16</v>
      </c>
      <c r="G26" s="12" t="n"/>
      <c r="H26" s="13">
        <f>SUM(C26:G26)</f>
        <v/>
      </c>
      <c r="I26" s="27" t="n"/>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26</v>
      </c>
      <c r="F27" s="12" t="n">
        <v>12</v>
      </c>
      <c r="G27" s="12" t="n"/>
      <c r="H27" s="13">
        <f>SUM(C27:G27)</f>
        <v/>
      </c>
      <c r="I27" s="27" t="n"/>
      <c r="J27" s="3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27</v>
      </c>
      <c r="F28" s="12" t="n">
        <v>8</v>
      </c>
      <c r="G28" s="12" t="n"/>
      <c r="H28" s="13">
        <f>SUM(C28:G28)</f>
        <v/>
      </c>
      <c r="I28" s="27" t="n"/>
      <c r="J28" s="32" t="n"/>
      <c r="K28" s="1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25</v>
      </c>
      <c r="F29" s="12" t="n"/>
      <c r="G29" s="12" t="n"/>
      <c r="H29" s="13">
        <f>SUM(C29:G29)</f>
        <v/>
      </c>
      <c r="I29" s="27" t="n"/>
      <c r="J29" s="3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24</v>
      </c>
      <c r="F30" s="12" t="n">
        <v>10</v>
      </c>
      <c r="G30" s="12" t="n"/>
      <c r="H30" s="13">
        <f>SUM(C30:G30)</f>
        <v/>
      </c>
      <c r="I30" s="27" t="n"/>
      <c r="J30" s="32" t="n"/>
      <c r="K30" s="1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5</v>
      </c>
      <c r="F31" s="12" t="n">
        <v>6</v>
      </c>
      <c r="G31" s="12" t="n"/>
      <c r="H31" s="13">
        <f>SUM(C31:G31)</f>
        <v/>
      </c>
      <c r="I31" s="27" t="n"/>
      <c r="J31" s="32" t="n"/>
      <c r="K31" s="12" t="n">
        <v>1</v>
      </c>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2" t="n"/>
      <c r="E33" s="12" t="n"/>
      <c r="F33" s="12"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3:V44"/>
  <sheetViews>
    <sheetView showGridLines="0" topLeftCell="A4" zoomScale="96" zoomScaleNormal="96" workbookViewId="0">
      <selection activeCell="E32" sqref="E32"/>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46236</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6">
        <f>IFERROR(VLOOKUP(INT($I$6)*100+6,METEO_SADM!$A$1:$L$505,5,FALSE),"s/d")</f>
        <v/>
      </c>
      <c r="S16" s="106">
        <f>IFERROR(VLOOKUP(INT($I$6)*100+6,METEO_SADM!$A$1:$L$505,6,FALSE),"s/d")</f>
        <v/>
      </c>
      <c r="T16" s="106">
        <f>IFERROR(VLOOKUP(INT($I$6)*100+6,METEO_SADM!$A$1:$L$505,7,FALSE),"s/d")</f>
        <v/>
      </c>
      <c r="U16" s="106">
        <f>IFERROR(VLOOKUP(INT($I$6)*100+6,METEO_SADM!$A$1:$L$505,8,FALSE),"s/d")</f>
        <v/>
      </c>
      <c r="V16" s="107">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inlineStr">
        <is>
          <t>imc</t>
        </is>
      </c>
      <c r="F21" s="12" t="inlineStr">
        <is>
          <t>imc</t>
        </is>
      </c>
      <c r="G21" s="12" t="inlineStr">
        <is>
          <t>imc</t>
        </is>
      </c>
      <c r="H21" s="13">
        <f>SUM(C21:G21)</f>
        <v/>
      </c>
      <c r="I21" s="27" t="n"/>
      <c r="J21" s="32" t="n"/>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inlineStr">
        <is>
          <t>imc</t>
        </is>
      </c>
      <c r="F22" s="12" t="inlineStr">
        <is>
          <t>imc</t>
        </is>
      </c>
      <c r="G22" s="12" t="inlineStr">
        <is>
          <t>imc</t>
        </is>
      </c>
      <c r="H22" s="13">
        <f>SUM(C22:G22)</f>
        <v/>
      </c>
      <c r="I22" s="27" t="n"/>
      <c r="J22" s="32" t="n"/>
      <c r="K22" s="12" t="n"/>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inlineStr">
        <is>
          <t>imc</t>
        </is>
      </c>
      <c r="F23" s="12" t="inlineStr">
        <is>
          <t>imc</t>
        </is>
      </c>
      <c r="G23" s="12" t="inlineStr">
        <is>
          <t>imc</t>
        </is>
      </c>
      <c r="H23" s="13">
        <f>SUM(C23:G23)</f>
        <v/>
      </c>
      <c r="I23" s="27" t="n"/>
      <c r="J23" s="32" t="n"/>
      <c r="K23" s="12" t="n"/>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inlineStr">
        <is>
          <t>imc</t>
        </is>
      </c>
      <c r="F24" s="12" t="inlineStr">
        <is>
          <t>imc</t>
        </is>
      </c>
      <c r="G24" s="12" t="inlineStr">
        <is>
          <t>imc</t>
        </is>
      </c>
      <c r="H24" s="13">
        <f>SUM(C24:G24)</f>
        <v/>
      </c>
      <c r="I24" s="27" t="n"/>
      <c r="J24" s="32" t="n"/>
      <c r="K24" s="12" t="n"/>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c r="D25" s="12" t="n"/>
      <c r="E25" s="12" t="inlineStr">
        <is>
          <t>imc</t>
        </is>
      </c>
      <c r="F25" s="12" t="inlineStr">
        <is>
          <t>imc</t>
        </is>
      </c>
      <c r="G25" s="12" t="inlineStr">
        <is>
          <t>imc</t>
        </is>
      </c>
      <c r="H25" s="13">
        <f>SUM(C25:G25)</f>
        <v/>
      </c>
      <c r="I25" s="27" t="n"/>
      <c r="J25" s="32" t="n"/>
      <c r="K25" s="12" t="n"/>
      <c r="L25" s="12" t="n"/>
      <c r="M25" s="14" t="n"/>
      <c r="O25" s="4" t="n"/>
      <c r="R25" s="106">
        <f>IFERROR(VLOOKUP(INT($I$6)*100+15,METEO_SADM!$A$1:$L$505,5,FALSE),"s/d")</f>
        <v/>
      </c>
      <c r="S25" s="106">
        <f>IFERROR(VLOOKUP(INT($I$6)*100+15,METEO_SADM!$A$1:$L$505,6,FALSE),"s/d")</f>
        <v/>
      </c>
      <c r="T25" s="106">
        <f>IFERROR(VLOOKUP(INT($I$6)*100+15,METEO_SADM!$A$1:$L$505,7,FALSE),"s/d")</f>
        <v/>
      </c>
      <c r="U25" s="106">
        <f>IFERROR(VLOOKUP(INT($I$6)*100+15,METEO_SADM!$A$1:$L$505,8,FALSE),"s/d")</f>
        <v/>
      </c>
      <c r="V25" s="107">
        <f>IFERROR(VLOOKUP(INT($I$6)*100+15,METEO_SADM!$A$1:$L$505,9,FALSE),"s/d")</f>
        <v/>
      </c>
    </row>
    <row r="26" ht="19.5" customFormat="1" customHeight="1" s="3">
      <c r="A26" s="1" t="n"/>
      <c r="B26" s="11" t="inlineStr">
        <is>
          <t>16 a 17</t>
        </is>
      </c>
      <c r="C26" s="12" t="n"/>
      <c r="D26" s="12" t="n"/>
      <c r="E26" s="12" t="n">
        <v>14</v>
      </c>
      <c r="F26" s="12" t="n">
        <v>16</v>
      </c>
      <c r="G26" s="12" t="n"/>
      <c r="H26" s="13">
        <f>SUM(C26:G26)</f>
        <v/>
      </c>
      <c r="I26" s="27" t="n"/>
      <c r="J26" s="32" t="n">
        <v>1</v>
      </c>
      <c r="K26" s="12" t="n"/>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inlineStr">
        <is>
          <t>imc</t>
        </is>
      </c>
      <c r="F27" s="12" t="inlineStr">
        <is>
          <t>imc</t>
        </is>
      </c>
      <c r="G27" s="12" t="inlineStr">
        <is>
          <t>imc</t>
        </is>
      </c>
      <c r="H27" s="13">
        <f>SUM(C27:G27)</f>
        <v/>
      </c>
      <c r="I27" s="27" t="n"/>
      <c r="J27" s="32" t="n"/>
      <c r="K27" s="12" t="n"/>
      <c r="L27" s="12" t="n"/>
      <c r="M27" s="14" t="n"/>
      <c r="O27" s="4" t="n"/>
      <c r="R27" s="106">
        <f>IFERROR(VLOOKUP(INT($I$6)*100+17,METEO_SADM!$A$1:$L$505,5,FALSE),"s/d")</f>
        <v/>
      </c>
      <c r="S27" s="106">
        <f>IFERROR(VLOOKUP(INT($I$6)*100+17,METEO_SADM!$A$1:$L$505,6,FALSE),"s/d")</f>
        <v/>
      </c>
      <c r="T27" s="106">
        <f>IFERROR(VLOOKUP(INT($I$6)*100+17,METEO_SADM!$A$1:$L$505,7,FALSE),"s/d")</f>
        <v/>
      </c>
      <c r="U27" s="106">
        <f>IFERROR(VLOOKUP(INT($I$6)*100+17,METEO_SADM!$A$1:$L$505,8,FALSE),"s/d")</f>
        <v/>
      </c>
      <c r="V27" s="107">
        <f>IFERROR(VLOOKUP(INT($I$6)*100+17,METEO_SADM!$A$1:$L$505,9,FALSE),"s/d")</f>
        <v/>
      </c>
    </row>
    <row r="28" ht="19.5" customFormat="1" customHeight="1" s="3">
      <c r="A28" s="1" t="n"/>
      <c r="B28" s="11" t="inlineStr">
        <is>
          <t>18 a 19</t>
        </is>
      </c>
      <c r="C28" s="12" t="n"/>
      <c r="D28" s="12" t="n"/>
      <c r="E28" s="12" t="n">
        <v>9</v>
      </c>
      <c r="F28" s="12" t="n">
        <v>4</v>
      </c>
      <c r="G28" s="12" t="n"/>
      <c r="H28" s="13">
        <f>SUM(C28:G28)</f>
        <v/>
      </c>
      <c r="I28" s="27" t="n"/>
      <c r="J28" s="32" t="n">
        <v>1</v>
      </c>
      <c r="K28" s="12" t="n"/>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14</v>
      </c>
      <c r="F29" s="12" t="n">
        <v>18</v>
      </c>
      <c r="G29" s="12" t="n"/>
      <c r="H29" s="13">
        <f>SUM(C29:G29)</f>
        <v/>
      </c>
      <c r="I29" s="27" t="n"/>
      <c r="J29" s="32" t="n">
        <v>1</v>
      </c>
      <c r="K29" s="12" t="n"/>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9</v>
      </c>
      <c r="F30" s="12" t="n"/>
      <c r="G30" s="12" t="n"/>
      <c r="H30" s="13">
        <f>SUM(C30:G30)</f>
        <v/>
      </c>
      <c r="I30" s="27" t="n"/>
      <c r="J30" s="32" t="n">
        <v>1</v>
      </c>
      <c r="K30" s="12" t="n"/>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4</v>
      </c>
      <c r="F31" s="12" t="n"/>
      <c r="G31" s="12" t="n"/>
      <c r="H31" s="13">
        <f>SUM(C31:G31)</f>
        <v/>
      </c>
      <c r="I31" s="27" t="n"/>
      <c r="J31" s="32" t="n">
        <v>1</v>
      </c>
      <c r="K31" s="12" t="n"/>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3:V44"/>
  <sheetViews>
    <sheetView showGridLines="0" topLeftCell="A7" zoomScale="95" zoomScaleNormal="95" workbookViewId="0">
      <selection activeCell="F30" sqref="F3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46237</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4">
        <f>IFERROR(VLOOKUP(INT($I$6)*100+10,METEO_SADM!$A$1:$L$505,5,FALSE),"s/d")</f>
        <v/>
      </c>
      <c r="S20" s="104">
        <f>IFERROR(VLOOKUP(INT($I$6)*100+10,METEO_SADM!$A$1:$L$505,6,FALSE),"s/d")</f>
        <v/>
      </c>
      <c r="T20" s="104">
        <f>IFERROR(VLOOKUP(INT($I$6)*100+10,METEO_SADM!$A$1:$L$505,7,FALSE),"s/d")</f>
        <v/>
      </c>
      <c r="U20" s="104">
        <f>IFERROR(VLOOKUP(INT($I$6)*100+10,METEO_SADM!$A$1:$L$505,8,FALSE),"s/d")</f>
        <v/>
      </c>
      <c r="V20" s="105">
        <f>IFERROR(VLOOKUP(INT($I$6)*100+10,METEO_SADM!$A$1:$L$505,9,FALSE),"s/d")</f>
        <v/>
      </c>
    </row>
    <row r="21" ht="19.5" customFormat="1" customHeight="1" s="3">
      <c r="A21" s="1" t="n"/>
      <c r="B21" s="11" t="inlineStr">
        <is>
          <t>11 a 12</t>
        </is>
      </c>
      <c r="C21" s="12" t="n"/>
      <c r="D21" s="12" t="n"/>
      <c r="E21" s="12" t="inlineStr">
        <is>
          <t>IMC</t>
        </is>
      </c>
      <c r="F21" s="12" t="n"/>
      <c r="G21" s="12" t="n"/>
      <c r="H21" s="13">
        <f>SUM(C21:G21)</f>
        <v/>
      </c>
      <c r="I21" s="27" t="n"/>
      <c r="J21" s="32" t="n"/>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inlineStr">
        <is>
          <t>IMC</t>
        </is>
      </c>
      <c r="F22" s="12" t="n"/>
      <c r="G22" s="12" t="n"/>
      <c r="H22" s="13">
        <f>SUM(C22:G22)</f>
        <v/>
      </c>
      <c r="I22" s="27" t="n"/>
      <c r="J22" s="32" t="n"/>
      <c r="K22" s="12" t="n"/>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inlineStr">
        <is>
          <t>IMC</t>
        </is>
      </c>
      <c r="F23" s="12" t="n"/>
      <c r="G23" s="12" t="n"/>
      <c r="H23" s="13">
        <f>SUM(C23:G23)</f>
        <v/>
      </c>
      <c r="I23" s="27" t="n"/>
      <c r="J23" s="32" t="n"/>
      <c r="K23" s="12" t="n"/>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inlineStr">
        <is>
          <t>IMC</t>
        </is>
      </c>
      <c r="F24" s="12" t="n"/>
      <c r="G24" s="12" t="n"/>
      <c r="H24" s="13">
        <f>SUM(C24:G24)</f>
        <v/>
      </c>
      <c r="I24" s="27" t="n"/>
      <c r="J24" s="32" t="n"/>
      <c r="K24" s="12" t="n"/>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c r="D25" s="12" t="n"/>
      <c r="E25" s="12" t="inlineStr">
        <is>
          <t>IMC</t>
        </is>
      </c>
      <c r="F25" s="12" t="n"/>
      <c r="G25" s="12" t="n"/>
      <c r="H25" s="13">
        <f>SUM(C25:G25)</f>
        <v/>
      </c>
      <c r="I25" s="27" t="n"/>
      <c r="J25" s="32" t="n"/>
      <c r="K25" s="12" t="n"/>
      <c r="L25" s="12" t="n"/>
      <c r="M25" s="14" t="n"/>
      <c r="O25" s="4" t="n"/>
      <c r="R25" s="106">
        <f>IFERROR(VLOOKUP(INT($I$6)*100+15,METEO_SADM!$A$1:$L$505,5,FALSE),"s/d")</f>
        <v/>
      </c>
      <c r="S25" s="106">
        <f>IFERROR(VLOOKUP(INT($I$6)*100+15,METEO_SADM!$A$1:$L$505,6,FALSE),"s/d")</f>
        <v/>
      </c>
      <c r="T25" s="106">
        <f>IFERROR(VLOOKUP(INT($I$6)*100+15,METEO_SADM!$A$1:$L$505,7,FALSE),"s/d")</f>
        <v/>
      </c>
      <c r="U25" s="106">
        <f>IFERROR(VLOOKUP(INT($I$6)*100+15,METEO_SADM!$A$1:$L$505,8,FALSE),"s/d")</f>
        <v/>
      </c>
      <c r="V25" s="107">
        <f>IFERROR(VLOOKUP(INT($I$6)*100+15,METEO_SADM!$A$1:$L$505,9,FALSE),"s/d")</f>
        <v/>
      </c>
    </row>
    <row r="26" ht="19.5" customFormat="1" customHeight="1" s="3">
      <c r="A26" s="1" t="n"/>
      <c r="B26" s="11" t="inlineStr">
        <is>
          <t>16 a 17</t>
        </is>
      </c>
      <c r="C26" s="12" t="n"/>
      <c r="D26" s="12" t="n"/>
      <c r="E26" s="12" t="inlineStr">
        <is>
          <t>IMC</t>
        </is>
      </c>
      <c r="F26" s="12" t="n"/>
      <c r="G26" s="12" t="n"/>
      <c r="H26" s="13">
        <f>SUM(C26:G26)</f>
        <v/>
      </c>
      <c r="I26" s="27" t="n"/>
      <c r="J26" s="32" t="n"/>
      <c r="K26" s="12" t="n"/>
      <c r="L26" s="12" t="n"/>
      <c r="M26" s="14" t="n"/>
      <c r="O26" s="4" t="n"/>
      <c r="R26" s="106">
        <f>IFERROR(VLOOKUP(INT($I$6)*100+16,METEO_SADM!$A$1:$L$505,5,FALSE),"s/d")</f>
        <v/>
      </c>
      <c r="S26" s="106">
        <f>IFERROR(VLOOKUP(INT($I$6)*100+16,METEO_SADM!$A$1:$L$505,6,FALSE),"s/d")</f>
        <v/>
      </c>
      <c r="T26" s="106">
        <f>IFERROR(VLOOKUP(INT($I$6)*100+16,METEO_SADM!$A$1:$L$505,7,FALSE),"s/d")</f>
        <v/>
      </c>
      <c r="U26" s="106">
        <f>IFERROR(VLOOKUP(INT($I$6)*100+16,METEO_SADM!$A$1:$L$505,8,FALSE),"s/d")</f>
        <v/>
      </c>
      <c r="V26" s="107">
        <f>IFERROR(VLOOKUP(INT($I$6)*100+16,METEO_SADM!$A$1:$L$505,9,FALSE),"s/d")</f>
        <v/>
      </c>
    </row>
    <row r="27" ht="19.5" customFormat="1" customHeight="1" s="3">
      <c r="A27" s="1" t="n"/>
      <c r="B27" s="11" t="inlineStr">
        <is>
          <t>17 a 18</t>
        </is>
      </c>
      <c r="C27" s="12" t="n"/>
      <c r="D27" s="12" t="n"/>
      <c r="E27" s="12" t="n">
        <v>2</v>
      </c>
      <c r="F27" s="12" t="n"/>
      <c r="G27" s="12" t="n"/>
      <c r="H27" s="13">
        <f>SUM(C27:G27)</f>
        <v/>
      </c>
      <c r="I27" s="27" t="n"/>
      <c r="J27" s="32" t="n"/>
      <c r="K27" s="12" t="n">
        <v>1</v>
      </c>
      <c r="L27" s="12" t="n"/>
      <c r="M27" s="14" t="n"/>
      <c r="O27" s="4" t="n"/>
      <c r="R27" s="106">
        <f>IFERROR(VLOOKUP(INT($I$6)*100+17,METEO_SADM!$A$1:$L$505,5,FALSE),"s/d")</f>
        <v/>
      </c>
      <c r="S27" s="106">
        <f>IFERROR(VLOOKUP(INT($I$6)*100+17,METEO_SADM!$A$1:$L$505,6,FALSE),"s/d")</f>
        <v/>
      </c>
      <c r="T27" s="106">
        <f>IFERROR(VLOOKUP(INT($I$6)*100+17,METEO_SADM!$A$1:$L$505,7,FALSE),"s/d")</f>
        <v/>
      </c>
      <c r="U27" s="106">
        <f>IFERROR(VLOOKUP(INT($I$6)*100+17,METEO_SADM!$A$1:$L$505,8,FALSE),"s/d")</f>
        <v/>
      </c>
      <c r="V27" s="107">
        <f>IFERROR(VLOOKUP(INT($I$6)*100+17,METEO_SADM!$A$1:$L$505,9,FALSE),"s/d")</f>
        <v/>
      </c>
    </row>
    <row r="28" ht="19.5" customFormat="1" customHeight="1" s="3">
      <c r="A28" s="1" t="n"/>
      <c r="B28" s="11" t="inlineStr">
        <is>
          <t>18 a 19</t>
        </is>
      </c>
      <c r="C28" s="12" t="n"/>
      <c r="D28" s="12" t="n"/>
      <c r="E28" s="12" t="n">
        <v>6</v>
      </c>
      <c r="F28" s="12" t="n">
        <v>18</v>
      </c>
      <c r="G28" s="12" t="n"/>
      <c r="H28" s="13">
        <f>SUM(C28:G28)</f>
        <v/>
      </c>
      <c r="I28" s="27" t="n"/>
      <c r="J28" s="32" t="n"/>
      <c r="K28" s="12" t="n">
        <v>1</v>
      </c>
      <c r="L28" s="12" t="n"/>
      <c r="M28" s="14" t="n"/>
      <c r="O28" s="4" t="n"/>
      <c r="R28" s="106">
        <f>IFERROR(VLOOKUP(INT($I$6)*100+18,METEO_SADM!$A$1:$L$505,5,FALSE),"s/d")</f>
        <v/>
      </c>
      <c r="S28" s="106">
        <f>IFERROR(VLOOKUP(INT($I$6)*100+18,METEO_SADM!$A$1:$L$505,6,FALSE),"s/d")</f>
        <v/>
      </c>
      <c r="T28" s="106">
        <f>IFERROR(VLOOKUP(INT($I$6)*100+18,METEO_SADM!$A$1:$L$505,7,FALSE),"s/d")</f>
        <v/>
      </c>
      <c r="U28" s="106">
        <f>IFERROR(VLOOKUP(INT($I$6)*100+18,METEO_SADM!$A$1:$L$505,8,FALSE),"s/d")</f>
        <v/>
      </c>
      <c r="V28" s="107">
        <f>IFERROR(VLOOKUP(INT($I$6)*100+18,METEO_SADM!$A$1:$L$505,9,FALSE),"s/d")</f>
        <v/>
      </c>
    </row>
    <row r="29" ht="19.5" customFormat="1" customHeight="1" s="3">
      <c r="A29" s="1" t="n"/>
      <c r="B29" s="11" t="inlineStr">
        <is>
          <t xml:space="preserve">19 a 20 </t>
        </is>
      </c>
      <c r="C29" s="12" t="n"/>
      <c r="D29" s="12" t="n"/>
      <c r="E29" s="12" t="n">
        <v>6</v>
      </c>
      <c r="F29" s="12" t="n">
        <v>40</v>
      </c>
      <c r="G29" s="12" t="n"/>
      <c r="H29" s="13">
        <f>SUM(C29:G29)</f>
        <v/>
      </c>
      <c r="I29" s="27" t="n"/>
      <c r="J29" s="32" t="n"/>
      <c r="K29" s="12" t="n">
        <v>1</v>
      </c>
      <c r="L29" s="12" t="n"/>
      <c r="M29" s="14" t="n"/>
      <c r="O29" s="4" t="n"/>
      <c r="R29" s="106">
        <f>IFERROR(VLOOKUP(INT($I$6)*100+19,METEO_SADM!$A$1:$L$505,5,FALSE),"s/d")</f>
        <v/>
      </c>
      <c r="S29" s="106">
        <f>IFERROR(VLOOKUP(INT($I$6)*100+19,METEO_SADM!$A$1:$L$505,6,FALSE),"s/d")</f>
        <v/>
      </c>
      <c r="T29" s="106">
        <f>IFERROR(VLOOKUP(INT($I$6)*100+19,METEO_SADM!$A$1:$L$505,7,FALSE),"s/d")</f>
        <v/>
      </c>
      <c r="U29" s="106">
        <f>IFERROR(VLOOKUP(INT($I$6)*100+19,METEO_SADM!$A$1:$L$505,8,FALSE),"s/d")</f>
        <v/>
      </c>
      <c r="V29" s="107">
        <f>IFERROR(VLOOKUP(INT($I$6)*100+19,METEO_SADM!$A$1:$L$505,9,FALSE),"s/d")</f>
        <v/>
      </c>
    </row>
    <row r="30" ht="19.5" customFormat="1" customHeight="1" s="3">
      <c r="A30" s="1" t="n"/>
      <c r="B30" s="11" t="inlineStr">
        <is>
          <t>20 a 21</t>
        </is>
      </c>
      <c r="C30" s="12" t="n"/>
      <c r="D30" s="12" t="n"/>
      <c r="E30" s="12" t="n">
        <v>3</v>
      </c>
      <c r="F30" s="12" t="n">
        <v>18</v>
      </c>
      <c r="G30" s="12" t="n"/>
      <c r="H30" s="13">
        <f>SUM(C30:G30)</f>
        <v/>
      </c>
      <c r="I30" s="27" t="n"/>
      <c r="J30" s="32" t="n"/>
      <c r="K30" s="12" t="n">
        <v>1</v>
      </c>
      <c r="L30" s="12" t="n"/>
      <c r="M30" s="14" t="n"/>
      <c r="O30" s="4" t="n"/>
      <c r="R30" s="106">
        <f>IFERROR(VLOOKUP(INT($I$6)*100+20,METEO_SADM!$A$1:$L$505,5,FALSE),"s/d")</f>
        <v/>
      </c>
      <c r="S30" s="106">
        <f>IFERROR(VLOOKUP(INT($I$6)*100+20,METEO_SADM!$A$1:$L$505,6,FALSE),"s/d")</f>
        <v/>
      </c>
      <c r="T30" s="106">
        <f>IFERROR(VLOOKUP(INT($I$6)*100+20,METEO_SADM!$A$1:$L$505,7,FALSE),"s/d")</f>
        <v/>
      </c>
      <c r="U30" s="106">
        <f>IFERROR(VLOOKUP(INT($I$6)*100+20,METEO_SADM!$A$1:$L$505,8,FALSE),"s/d")</f>
        <v/>
      </c>
      <c r="V30" s="107">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v>1</v>
      </c>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3:V44"/>
  <sheetViews>
    <sheetView showGridLines="0" topLeftCell="A4" zoomScale="96" zoomScaleNormal="96" workbookViewId="0">
      <selection activeCell="J30" sqref="J3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46238</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6">
        <f>IFERROR(VLOOKUP(INT($I$6)*100+2,METEO_SADM!$A$1:$L$505,5,FALSE),"s/d")</f>
        <v/>
      </c>
      <c r="S12" s="106">
        <f>IFERROR(VLOOKUP(INT($I$6)*100+2,METEO_SADM!$A$1:$L$505,6,FALSE),"s/d")</f>
        <v/>
      </c>
      <c r="T12" s="106">
        <f>IFERROR(VLOOKUP(INT($I$6)*100+2,METEO_SADM!$A$1:$L$505,7,FALSE),"s/d")</f>
        <v/>
      </c>
      <c r="U12" s="106">
        <f>IFERROR(VLOOKUP(INT($I$6)*100+2,METEO_SADM!$A$1:$L$505,8,FALSE),"s/d")</f>
        <v/>
      </c>
      <c r="V12" s="107">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6">
        <f>IFERROR(VLOOKUP(INT($I$6)*100+3,METEO_SADM!$A$1:$L$505,5,FALSE),"s/d")</f>
        <v/>
      </c>
      <c r="S13" s="106">
        <f>IFERROR(VLOOKUP(INT($I$6)*100+3,METEO_SADM!$A$1:$L$505,6,FALSE),"s/d")</f>
        <v/>
      </c>
      <c r="T13" s="106">
        <f>IFERROR(VLOOKUP(INT($I$6)*100+3,METEO_SADM!$A$1:$L$505,7,FALSE),"s/d")</f>
        <v/>
      </c>
      <c r="U13" s="106">
        <f>IFERROR(VLOOKUP(INT($I$6)*100+3,METEO_SADM!$A$1:$L$505,8,FALSE),"s/d")</f>
        <v/>
      </c>
      <c r="V13" s="107">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6">
        <f>IFERROR(VLOOKUP(INT($I$6)*100+4,METEO_SADM!$A$1:$L$505,5,FALSE),"s/d")</f>
        <v/>
      </c>
      <c r="S14" s="106">
        <f>IFERROR(VLOOKUP(INT($I$6)*100+4,METEO_SADM!$A$1:$L$505,6,FALSE),"s/d")</f>
        <v/>
      </c>
      <c r="T14" s="106">
        <f>IFERROR(VLOOKUP(INT($I$6)*100+4,METEO_SADM!$A$1:$L$505,7,FALSE),"s/d")</f>
        <v/>
      </c>
      <c r="U14" s="106">
        <f>IFERROR(VLOOKUP(INT($I$6)*100+4,METEO_SADM!$A$1:$L$505,8,FALSE),"s/d")</f>
        <v/>
      </c>
      <c r="V14" s="107">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6">
        <f>IFERROR(VLOOKUP(INT($I$6)*100+5,METEO_SADM!$A$1:$L$505,5,FALSE),"s/d")</f>
        <v/>
      </c>
      <c r="S15" s="106">
        <f>IFERROR(VLOOKUP(INT($I$6)*100+5,METEO_SADM!$A$1:$L$505,6,FALSE),"s/d")</f>
        <v/>
      </c>
      <c r="T15" s="106">
        <f>IFERROR(VLOOKUP(INT($I$6)*100+5,METEO_SADM!$A$1:$L$505,7,FALSE),"s/d")</f>
        <v/>
      </c>
      <c r="U15" s="106">
        <f>IFERROR(VLOOKUP(INT($I$6)*100+5,METEO_SADM!$A$1:$L$505,8,FALSE),"s/d")</f>
        <v/>
      </c>
      <c r="V15" s="107">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6">
        <f>IFERROR(VLOOKUP(INT($I$6)*100+6,METEO_SADM!$A$1:$L$505,5,FALSE),"s/d")</f>
        <v/>
      </c>
      <c r="S16" s="106">
        <f>IFERROR(VLOOKUP(INT($I$6)*100+6,METEO_SADM!$A$1:$L$505,6,FALSE),"s/d")</f>
        <v/>
      </c>
      <c r="T16" s="106">
        <f>IFERROR(VLOOKUP(INT($I$6)*100+6,METEO_SADM!$A$1:$L$505,7,FALSE),"s/d")</f>
        <v/>
      </c>
      <c r="U16" s="106">
        <f>IFERROR(VLOOKUP(INT($I$6)*100+6,METEO_SADM!$A$1:$L$505,8,FALSE),"s/d")</f>
        <v/>
      </c>
      <c r="V16" s="107">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6">
        <f>IFERROR(VLOOKUP(INT($I$6)*100+7,METEO_SADM!$A$1:$L$505,5,FALSE),"s/d")</f>
        <v/>
      </c>
      <c r="S17" s="106">
        <f>IFERROR(VLOOKUP(INT($I$6)*100+7,METEO_SADM!$A$1:$L$505,6,FALSE),"s/d")</f>
        <v/>
      </c>
      <c r="T17" s="106">
        <f>IFERROR(VLOOKUP(INT($I$6)*100+7,METEO_SADM!$A$1:$L$505,7,FALSE),"s/d")</f>
        <v/>
      </c>
      <c r="U17" s="106">
        <f>IFERROR(VLOOKUP(INT($I$6)*100+7,METEO_SADM!$A$1:$L$505,8,FALSE),"s/d")</f>
        <v/>
      </c>
      <c r="V17" s="107">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inlineStr">
        <is>
          <t>imc</t>
        </is>
      </c>
      <c r="F21" s="12" t="n"/>
      <c r="G21" s="12" t="n"/>
      <c r="H21" s="13">
        <f>SUM(C21:G21)</f>
        <v/>
      </c>
      <c r="I21" s="27" t="n"/>
      <c r="J21" s="32" t="n"/>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inlineStr">
        <is>
          <t>imc</t>
        </is>
      </c>
      <c r="F22" s="12" t="n"/>
      <c r="G22" s="12" t="n"/>
      <c r="H22" s="13">
        <f>SUM(C22:G22)</f>
        <v/>
      </c>
      <c r="I22" s="27" t="n"/>
      <c r="J22" s="32" t="n"/>
      <c r="K22" s="12" t="n"/>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inlineStr">
        <is>
          <t>imc</t>
        </is>
      </c>
      <c r="F23" s="12" t="n"/>
      <c r="G23" s="12" t="n"/>
      <c r="H23" s="13">
        <f>SUM(C23:G23)</f>
        <v/>
      </c>
      <c r="I23" s="27" t="n"/>
      <c r="J23" s="32" t="n"/>
      <c r="K23" s="12" t="n"/>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inlineStr">
        <is>
          <t>imc</t>
        </is>
      </c>
      <c r="F24" s="12" t="n"/>
      <c r="G24" s="12" t="n"/>
      <c r="H24" s="13">
        <f>SUM(C24:G24)</f>
        <v/>
      </c>
      <c r="I24" s="27" t="n"/>
      <c r="J24" s="32" t="n"/>
      <c r="K24" s="12" t="n"/>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c r="D25" s="12" t="n"/>
      <c r="E25" s="12" t="inlineStr">
        <is>
          <t>imc</t>
        </is>
      </c>
      <c r="F25" s="12" t="n"/>
      <c r="G25" s="12" t="n"/>
      <c r="H25" s="13">
        <f>SUM(C25:G25)</f>
        <v/>
      </c>
      <c r="I25" s="27" t="n"/>
      <c r="J25" s="32" t="n"/>
      <c r="K25" s="12" t="n"/>
      <c r="L25" s="12" t="n"/>
      <c r="M25" s="14" t="n"/>
      <c r="O25" s="4" t="n"/>
      <c r="R25" s="106">
        <f>IFERROR(VLOOKUP(INT($I$6)*100+15,METEO_SADM!$A$1:$L$505,5,FALSE),"s/d")</f>
        <v/>
      </c>
      <c r="S25" s="106">
        <f>IFERROR(VLOOKUP(INT($I$6)*100+15,METEO_SADM!$A$1:$L$505,6,FALSE),"s/d")</f>
        <v/>
      </c>
      <c r="T25" s="106">
        <f>IFERROR(VLOOKUP(INT($I$6)*100+15,METEO_SADM!$A$1:$L$505,7,FALSE),"s/d")</f>
        <v/>
      </c>
      <c r="U25" s="106">
        <f>IFERROR(VLOOKUP(INT($I$6)*100+15,METEO_SADM!$A$1:$L$505,8,FALSE),"s/d")</f>
        <v/>
      </c>
      <c r="V25" s="107">
        <f>IFERROR(VLOOKUP(INT($I$6)*100+15,METEO_SADM!$A$1:$L$505,9,FALSE),"s/d")</f>
        <v/>
      </c>
    </row>
    <row r="26" ht="19.5" customFormat="1" customHeight="1" s="3">
      <c r="A26" s="1" t="n"/>
      <c r="B26" s="11" t="inlineStr">
        <is>
          <t>16 a 17</t>
        </is>
      </c>
      <c r="C26" s="12" t="n"/>
      <c r="D26" s="12" t="n"/>
      <c r="E26" s="12" t="inlineStr">
        <is>
          <t>imc</t>
        </is>
      </c>
      <c r="F26" s="12" t="n"/>
      <c r="G26" s="12" t="n"/>
      <c r="H26" s="13">
        <f>SUM(C26:G26)</f>
        <v/>
      </c>
      <c r="I26" s="27" t="n"/>
      <c r="J26" s="32" t="n"/>
      <c r="K26" s="12" t="n"/>
      <c r="L26" s="12" t="n"/>
      <c r="M26" s="14" t="n"/>
      <c r="O26" s="4" t="n"/>
      <c r="R26" s="106">
        <f>IFERROR(VLOOKUP(INT($I$6)*100+16,METEO_SADM!$A$1:$L$505,5,FALSE),"s/d")</f>
        <v/>
      </c>
      <c r="S26" s="106">
        <f>IFERROR(VLOOKUP(INT($I$6)*100+16,METEO_SADM!$A$1:$L$505,6,FALSE),"s/d")</f>
        <v/>
      </c>
      <c r="T26" s="106">
        <f>IFERROR(VLOOKUP(INT($I$6)*100+16,METEO_SADM!$A$1:$L$505,7,FALSE),"s/d")</f>
        <v/>
      </c>
      <c r="U26" s="106">
        <f>IFERROR(VLOOKUP(INT($I$6)*100+16,METEO_SADM!$A$1:$L$505,8,FALSE),"s/d")</f>
        <v/>
      </c>
      <c r="V26" s="107">
        <f>IFERROR(VLOOKUP(INT($I$6)*100+16,METEO_SADM!$A$1:$L$505,9,FALSE),"s/d")</f>
        <v/>
      </c>
    </row>
    <row r="27" ht="19.5" customFormat="1" customHeight="1" s="3">
      <c r="A27" s="1" t="n"/>
      <c r="B27" s="11" t="inlineStr">
        <is>
          <t>17 a 18</t>
        </is>
      </c>
      <c r="C27" s="12" t="n"/>
      <c r="D27" s="12" t="n"/>
      <c r="E27" s="12" t="inlineStr">
        <is>
          <t>imc</t>
        </is>
      </c>
      <c r="F27" s="12" t="n"/>
      <c r="G27" s="12" t="n"/>
      <c r="H27" s="13">
        <f>SUM(C27:G27)</f>
        <v/>
      </c>
      <c r="I27" s="27" t="n"/>
      <c r="J27" s="32" t="n"/>
      <c r="K27" s="12" t="n"/>
      <c r="L27" s="12" t="n"/>
      <c r="M27" s="14" t="n"/>
      <c r="O27" s="4" t="n"/>
      <c r="R27" s="106">
        <f>IFERROR(VLOOKUP(INT($I$6)*100+17,METEO_SADM!$A$1:$L$505,5,FALSE),"s/d")</f>
        <v/>
      </c>
      <c r="S27" s="106">
        <f>IFERROR(VLOOKUP(INT($I$6)*100+17,METEO_SADM!$A$1:$L$505,6,FALSE),"s/d")</f>
        <v/>
      </c>
      <c r="T27" s="106">
        <f>IFERROR(VLOOKUP(INT($I$6)*100+17,METEO_SADM!$A$1:$L$505,7,FALSE),"s/d")</f>
        <v/>
      </c>
      <c r="U27" s="106">
        <f>IFERROR(VLOOKUP(INT($I$6)*100+17,METEO_SADM!$A$1:$L$505,8,FALSE),"s/d")</f>
        <v/>
      </c>
      <c r="V27" s="107">
        <f>IFERROR(VLOOKUP(INT($I$6)*100+17,METEO_SADM!$A$1:$L$505,9,FALSE),"s/d")</f>
        <v/>
      </c>
    </row>
    <row r="28" ht="19.5" customFormat="1" customHeight="1" s="3">
      <c r="A28" s="1" t="n"/>
      <c r="B28" s="11" t="inlineStr">
        <is>
          <t>18 a 19</t>
        </is>
      </c>
      <c r="C28" s="12" t="n"/>
      <c r="D28" s="12" t="n"/>
      <c r="E28" s="12" t="n">
        <v>9</v>
      </c>
      <c r="F28" s="12" t="n">
        <v>4</v>
      </c>
      <c r="G28" s="12" t="n"/>
      <c r="H28" s="13">
        <f>SUM(C28:G28)</f>
        <v/>
      </c>
      <c r="I28" s="27" t="n"/>
      <c r="J28" s="32" t="n"/>
      <c r="K28" s="1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11</v>
      </c>
      <c r="F29" s="12" t="n">
        <v>22</v>
      </c>
      <c r="G29" s="12" t="n">
        <v>1</v>
      </c>
      <c r="H29" s="13">
        <f>SUM(C29:G29)</f>
        <v/>
      </c>
      <c r="I29" s="27" t="n"/>
      <c r="J29" s="3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8</v>
      </c>
      <c r="F30" s="12" t="n">
        <v>10</v>
      </c>
      <c r="G30" s="12" t="n"/>
      <c r="H30" s="13">
        <f>SUM(C30:G30)</f>
        <v/>
      </c>
      <c r="I30" s="27" t="n"/>
      <c r="J30" s="32" t="n">
        <v>1</v>
      </c>
      <c r="K30" s="12" t="n"/>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06">
        <f>IFERROR(VLOOKUP(INT($I$6)*100+21,METEO_SADM!$A$1:$L$505,5,FALSE),"s/d")</f>
        <v/>
      </c>
      <c r="S31" s="106">
        <f>IFERROR(VLOOKUP(INT($I$6)*100+21,METEO_SADM!$A$1:$L$505,6,FALSE),"s/d")</f>
        <v/>
      </c>
      <c r="T31" s="106">
        <f>IFERROR(VLOOKUP(INT($I$6)*100+21,METEO_SADM!$A$1:$L$505,7,FALSE),"s/d")</f>
        <v/>
      </c>
      <c r="U31" s="106">
        <f>IFERROR(VLOOKUP(INT($I$6)*100+21,METEO_SADM!$A$1:$L$505,8,FALSE),"s/d")</f>
        <v/>
      </c>
      <c r="V31" s="107">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6">
        <f>IFERROR(VLOOKUP(INT($I$6)*100+22,METEO_SADM!$A$1:$L$505,5,FALSE),"s/d")</f>
        <v/>
      </c>
      <c r="S32" s="106">
        <f>IFERROR(VLOOKUP(INT($I$6)*100+22,METEO_SADM!$A$1:$L$505,6,FALSE),"s/d")</f>
        <v/>
      </c>
      <c r="T32" s="106">
        <f>IFERROR(VLOOKUP(INT($I$6)*100+22,METEO_SADM!$A$1:$L$505,7,FALSE),"s/d")</f>
        <v/>
      </c>
      <c r="U32" s="106">
        <f>IFERROR(VLOOKUP(INT($I$6)*100+22,METEO_SADM!$A$1:$L$505,8,FALSE),"s/d")</f>
        <v/>
      </c>
      <c r="V32" s="107">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3:V44"/>
  <sheetViews>
    <sheetView showGridLines="0" topLeftCell="A7" zoomScale="95" zoomScaleNormal="95" workbookViewId="0">
      <selection activeCell="K31" sqref="K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46239</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6">
        <f>IFERROR(VLOOKUP(INT($I$6)*100+1,METEO_SADM!$A$1:$L$505,5,FALSE),"s/d")</f>
        <v/>
      </c>
      <c r="S11" s="106">
        <f>IFERROR(VLOOKUP(INT($I$6)*100+1,METEO_SADM!$A$1:$L$505,6,FALSE),"s/d")</f>
        <v/>
      </c>
      <c r="T11" s="106">
        <f>IFERROR(VLOOKUP(INT($I$6)*100+1,METEO_SADM!$A$1:$L$505,7,FALSE),"s/d")</f>
        <v/>
      </c>
      <c r="U11" s="106">
        <f>IFERROR(VLOOKUP(INT($I$6)*100+1,METEO_SADM!$A$1:$L$505,8,FALSE),"s/d")</f>
        <v/>
      </c>
      <c r="V11" s="107">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6">
        <f>IFERROR(VLOOKUP(INT($I$6)*100+2,METEO_SADM!$A$1:$L$505,5,FALSE),"s/d")</f>
        <v/>
      </c>
      <c r="S12" s="106">
        <f>IFERROR(VLOOKUP(INT($I$6)*100+2,METEO_SADM!$A$1:$L$505,6,FALSE),"s/d")</f>
        <v/>
      </c>
      <c r="T12" s="106">
        <f>IFERROR(VLOOKUP(INT($I$6)*100+2,METEO_SADM!$A$1:$L$505,7,FALSE),"s/d")</f>
        <v/>
      </c>
      <c r="U12" s="106">
        <f>IFERROR(VLOOKUP(INT($I$6)*100+2,METEO_SADM!$A$1:$L$505,8,FALSE),"s/d")</f>
        <v/>
      </c>
      <c r="V12" s="107">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6">
        <f>IFERROR(VLOOKUP(INT($I$6)*100+6,METEO_SADM!$A$1:$L$505,5,FALSE),"s/d")</f>
        <v/>
      </c>
      <c r="S16" s="106">
        <f>IFERROR(VLOOKUP(INT($I$6)*100+6,METEO_SADM!$A$1:$L$505,6,FALSE),"s/d")</f>
        <v/>
      </c>
      <c r="T16" s="106">
        <f>IFERROR(VLOOKUP(INT($I$6)*100+6,METEO_SADM!$A$1:$L$505,7,FALSE),"s/d")</f>
        <v/>
      </c>
      <c r="U16" s="106">
        <f>IFERROR(VLOOKUP(INT($I$6)*100+6,METEO_SADM!$A$1:$L$505,8,FALSE),"s/d")</f>
        <v/>
      </c>
      <c r="V16" s="107">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6">
        <f>IFERROR(VLOOKUP(INT($I$6)*100+7,METEO_SADM!$A$1:$L$505,5,FALSE),"s/d")</f>
        <v/>
      </c>
      <c r="S17" s="106">
        <f>IFERROR(VLOOKUP(INT($I$6)*100+7,METEO_SADM!$A$1:$L$505,6,FALSE),"s/d")</f>
        <v/>
      </c>
      <c r="T17" s="106">
        <f>IFERROR(VLOOKUP(INT($I$6)*100+7,METEO_SADM!$A$1:$L$505,7,FALSE),"s/d")</f>
        <v/>
      </c>
      <c r="U17" s="106">
        <f>IFERROR(VLOOKUP(INT($I$6)*100+7,METEO_SADM!$A$1:$L$505,8,FALSE),"s/d")</f>
        <v/>
      </c>
      <c r="V17" s="107">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n"/>
      <c r="F21" s="12" t="n"/>
      <c r="G21" s="12" t="n"/>
      <c r="H21" s="13">
        <f>SUM(C21:G21)</f>
        <v/>
      </c>
      <c r="I21" s="27" t="n"/>
      <c r="J21" s="12" t="n"/>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n"/>
      <c r="F22" s="12" t="n"/>
      <c r="G22" s="12" t="n"/>
      <c r="H22" s="13">
        <f>SUM(C22:G22)</f>
        <v/>
      </c>
      <c r="I22" s="27" t="n"/>
      <c r="J22" s="12" t="n"/>
      <c r="K22" s="12" t="n"/>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n"/>
      <c r="F23" s="12" t="n"/>
      <c r="G23" s="12" t="n"/>
      <c r="H23" s="13">
        <f>SUM(C23:G23)</f>
        <v/>
      </c>
      <c r="I23" s="27" t="n"/>
      <c r="J23" s="12" t="n"/>
      <c r="K23" s="12" t="n"/>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12" t="n"/>
      <c r="K24" s="12" t="n"/>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c r="D25" s="12" t="n"/>
      <c r="E25" s="12" t="n"/>
      <c r="F25" s="12" t="n"/>
      <c r="G25" s="12" t="n"/>
      <c r="H25" s="13">
        <f>SUM(C25:G25)</f>
        <v/>
      </c>
      <c r="I25" s="27" t="n"/>
      <c r="J25" s="12" t="n"/>
      <c r="K25" s="12" t="n"/>
      <c r="L25" s="12" t="n"/>
      <c r="M25" s="14" t="n"/>
      <c r="O25" s="4" t="n"/>
      <c r="R25" s="106">
        <f>IFERROR(VLOOKUP(INT($I$6)*100+15,METEO_SADM!$A$1:$L$505,5,FALSE),"s/d")</f>
        <v/>
      </c>
      <c r="S25" s="106">
        <f>IFERROR(VLOOKUP(INT($I$6)*100+15,METEO_SADM!$A$1:$L$505,6,FALSE),"s/d")</f>
        <v/>
      </c>
      <c r="T25" s="106">
        <f>IFERROR(VLOOKUP(INT($I$6)*100+15,METEO_SADM!$A$1:$L$505,7,FALSE),"s/d")</f>
        <v/>
      </c>
      <c r="U25" s="106">
        <f>IFERROR(VLOOKUP(INT($I$6)*100+15,METEO_SADM!$A$1:$L$505,8,FALSE),"s/d")</f>
        <v/>
      </c>
      <c r="V25" s="107">
        <f>IFERROR(VLOOKUP(INT($I$6)*100+15,METEO_SADM!$A$1:$L$505,9,FALSE),"s/d")</f>
        <v/>
      </c>
    </row>
    <row r="26" ht="19.5" customFormat="1" customHeight="1" s="3">
      <c r="A26" s="1" t="n"/>
      <c r="B26" s="11" t="inlineStr">
        <is>
          <t>16 a 17</t>
        </is>
      </c>
      <c r="C26" s="12" t="n"/>
      <c r="D26" s="12" t="n"/>
      <c r="E26" s="12" t="n">
        <v>2</v>
      </c>
      <c r="F26" s="12" t="n"/>
      <c r="G26" s="12" t="n"/>
      <c r="H26" s="13">
        <f>SUM(C26:G26)</f>
        <v/>
      </c>
      <c r="I26" s="27" t="n"/>
      <c r="J26" s="12" t="n"/>
      <c r="K26" s="12" t="n">
        <v>1</v>
      </c>
      <c r="L26" s="12" t="n"/>
      <c r="M26" s="14" t="n"/>
      <c r="O26" s="4" t="n"/>
      <c r="R26" s="106">
        <f>IFERROR(VLOOKUP(INT($I$6)*100+16,METEO_SADM!$A$1:$L$505,5,FALSE),"s/d")</f>
        <v/>
      </c>
      <c r="S26" s="106">
        <f>IFERROR(VLOOKUP(INT($I$6)*100+16,METEO_SADM!$A$1:$L$505,6,FALSE),"s/d")</f>
        <v/>
      </c>
      <c r="T26" s="106">
        <f>IFERROR(VLOOKUP(INT($I$6)*100+16,METEO_SADM!$A$1:$L$505,7,FALSE),"s/d")</f>
        <v/>
      </c>
      <c r="U26" s="106">
        <f>IFERROR(VLOOKUP(INT($I$6)*100+16,METEO_SADM!$A$1:$L$505,8,FALSE),"s/d")</f>
        <v/>
      </c>
      <c r="V26" s="107">
        <f>IFERROR(VLOOKUP(INT($I$6)*100+16,METEO_SADM!$A$1:$L$505,9,FALSE),"s/d")</f>
        <v/>
      </c>
    </row>
    <row r="27" ht="19.5" customFormat="1" customHeight="1" s="3">
      <c r="A27" s="1" t="n"/>
      <c r="B27" s="11" t="inlineStr">
        <is>
          <t>17 a 18</t>
        </is>
      </c>
      <c r="C27" s="12" t="n"/>
      <c r="D27" s="12" t="n"/>
      <c r="E27" s="12" t="n">
        <v>2</v>
      </c>
      <c r="F27" s="12" t="n">
        <v>8</v>
      </c>
      <c r="G27" s="12" t="n"/>
      <c r="H27" s="13">
        <f>SUM(C27:G27)</f>
        <v/>
      </c>
      <c r="I27" s="27" t="n"/>
      <c r="J27" s="1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12</v>
      </c>
      <c r="F28" s="12" t="n">
        <v>16</v>
      </c>
      <c r="G28" s="12" t="n"/>
      <c r="H28" s="13">
        <f>SUM(C28:G28)</f>
        <v/>
      </c>
      <c r="I28" s="27" t="n"/>
      <c r="J28" s="12" t="n"/>
      <c r="K28" s="12" t="n">
        <v>1</v>
      </c>
      <c r="L28" s="12" t="n"/>
      <c r="M28" s="14" t="n"/>
      <c r="O28" s="4" t="n"/>
      <c r="R28" s="106">
        <f>IFERROR(VLOOKUP(INT($I$6)*100+18,METEO_SADM!$A$1:$L$505,5,FALSE),"s/d")</f>
        <v/>
      </c>
      <c r="S28" s="106">
        <f>IFERROR(VLOOKUP(INT($I$6)*100+18,METEO_SADM!$A$1:$L$505,6,FALSE),"s/d")</f>
        <v/>
      </c>
      <c r="T28" s="106">
        <f>IFERROR(VLOOKUP(INT($I$6)*100+18,METEO_SADM!$A$1:$L$505,7,FALSE),"s/d")</f>
        <v/>
      </c>
      <c r="U28" s="106">
        <f>IFERROR(VLOOKUP(INT($I$6)*100+18,METEO_SADM!$A$1:$L$505,8,FALSE),"s/d")</f>
        <v/>
      </c>
      <c r="V28" s="107">
        <f>IFERROR(VLOOKUP(INT($I$6)*100+18,METEO_SADM!$A$1:$L$505,9,FALSE),"s/d")</f>
        <v/>
      </c>
    </row>
    <row r="29" ht="19.5" customFormat="1" customHeight="1" s="3">
      <c r="A29" s="1" t="n"/>
      <c r="B29" s="11" t="inlineStr">
        <is>
          <t xml:space="preserve">19 a 20 </t>
        </is>
      </c>
      <c r="C29" s="12" t="n"/>
      <c r="D29" s="12" t="n"/>
      <c r="E29" s="12" t="n">
        <v>17</v>
      </c>
      <c r="F29" s="12" t="n">
        <v>44</v>
      </c>
      <c r="G29" s="12" t="n"/>
      <c r="H29" s="13">
        <f>SUM(C29:G29)</f>
        <v/>
      </c>
      <c r="I29" s="27" t="n"/>
      <c r="J29" s="1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16</v>
      </c>
      <c r="F30" s="12" t="n">
        <v>16</v>
      </c>
      <c r="G30" s="12" t="n"/>
      <c r="H30" s="13">
        <f>SUM(C30:G30)</f>
        <v/>
      </c>
      <c r="I30" s="27" t="n"/>
      <c r="J30" s="12" t="n"/>
      <c r="K30" s="1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1</v>
      </c>
      <c r="F31" s="12" t="n"/>
      <c r="G31" s="12" t="n"/>
      <c r="H31" s="13">
        <f>SUM(C31:G31)</f>
        <v/>
      </c>
      <c r="I31" s="27" t="n"/>
      <c r="J31" s="12" t="n"/>
      <c r="K31" s="12" t="n">
        <v>1</v>
      </c>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6">
        <f>IFERROR(VLOOKUP(INT($I$6)*100+22,METEO_SADM!$A$1:$L$505,5,FALSE),"s/d")</f>
        <v/>
      </c>
      <c r="S32" s="106">
        <f>IFERROR(VLOOKUP(INT($I$6)*100+22,METEO_SADM!$A$1:$L$505,6,FALSE),"s/d")</f>
        <v/>
      </c>
      <c r="T32" s="106">
        <f>IFERROR(VLOOKUP(INT($I$6)*100+22,METEO_SADM!$A$1:$L$505,7,FALSE),"s/d")</f>
        <v/>
      </c>
      <c r="U32" s="106">
        <f>IFERROR(VLOOKUP(INT($I$6)*100+22,METEO_SADM!$A$1:$L$505,8,FALSE),"s/d")</f>
        <v/>
      </c>
      <c r="V32" s="107">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6">
        <f>IFERROR(VLOOKUP(INT($I$6)*100+23,METEO_SADM!$A$1:$L$505,5,FALSE),"s/d")</f>
        <v/>
      </c>
      <c r="S33" s="106">
        <f>IFERROR(VLOOKUP(INT($I$6)*100+23,METEO_SADM!$A$1:$L$505,6,FALSE),"s/d")</f>
        <v/>
      </c>
      <c r="T33" s="106">
        <f>IFERROR(VLOOKUP(INT($I$6)*100+23,METEO_SADM!$A$1:$L$505,7,FALSE),"s/d")</f>
        <v/>
      </c>
      <c r="U33" s="106">
        <f>IFERROR(VLOOKUP(INT($I$6)*100+23,METEO_SADM!$A$1:$L$505,8,FALSE),"s/d")</f>
        <v/>
      </c>
      <c r="V33" s="107">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3:V44"/>
  <sheetViews>
    <sheetView showGridLines="0" topLeftCell="A4" zoomScale="98" zoomScaleNormal="98" workbookViewId="0">
      <selection activeCell="K30" sqref="K3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46240</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6">
        <f>IFERROR(VLOOKUP(INT($I$6)*100+0,METEO_SADM!$A$1:$L$505,5,FALSE),"s/d")</f>
        <v/>
      </c>
      <c r="S10" s="106">
        <f>IFERROR(VLOOKUP(INT($I$6)*100+0,METEO_SADM!$A$1:$L$505,6,FALSE),"s/d")</f>
        <v/>
      </c>
      <c r="T10" s="106">
        <f>IFERROR(VLOOKUP(INT($I$6)*100+0,METEO_SADM!$A$1:$L$505,7,FALSE),"s/d")</f>
        <v/>
      </c>
      <c r="U10" s="106">
        <f>IFERROR(VLOOKUP(INT($I$6)*100+0,METEO_SADM!$A$1:$L$505,8,FALSE),"s/d")</f>
        <v/>
      </c>
      <c r="V10" s="107">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6">
        <f>IFERROR(VLOOKUP(INT($I$6)*100+2,METEO_SADM!$A$1:$L$505,5,FALSE),"s/d")</f>
        <v/>
      </c>
      <c r="S12" s="106">
        <f>IFERROR(VLOOKUP(INT($I$6)*100+2,METEO_SADM!$A$1:$L$505,6,FALSE),"s/d")</f>
        <v/>
      </c>
      <c r="T12" s="106">
        <f>IFERROR(VLOOKUP(INT($I$6)*100+2,METEO_SADM!$A$1:$L$505,7,FALSE),"s/d")</f>
        <v/>
      </c>
      <c r="U12" s="106">
        <f>IFERROR(VLOOKUP(INT($I$6)*100+2,METEO_SADM!$A$1:$L$505,8,FALSE),"s/d")</f>
        <v/>
      </c>
      <c r="V12" s="107">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6">
        <f>IFERROR(VLOOKUP(INT($I$6)*100+3,METEO_SADM!$A$1:$L$505,5,FALSE),"s/d")</f>
        <v/>
      </c>
      <c r="S13" s="106">
        <f>IFERROR(VLOOKUP(INT($I$6)*100+3,METEO_SADM!$A$1:$L$505,6,FALSE),"s/d")</f>
        <v/>
      </c>
      <c r="T13" s="106">
        <f>IFERROR(VLOOKUP(INT($I$6)*100+3,METEO_SADM!$A$1:$L$505,7,FALSE),"s/d")</f>
        <v/>
      </c>
      <c r="U13" s="106">
        <f>IFERROR(VLOOKUP(INT($I$6)*100+3,METEO_SADM!$A$1:$L$505,8,FALSE),"s/d")</f>
        <v/>
      </c>
      <c r="V13" s="107">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6">
        <f>IFERROR(VLOOKUP(INT($I$6)*100+4,METEO_SADM!$A$1:$L$505,5,FALSE),"s/d")</f>
        <v/>
      </c>
      <c r="S14" s="106">
        <f>IFERROR(VLOOKUP(INT($I$6)*100+4,METEO_SADM!$A$1:$L$505,6,FALSE),"s/d")</f>
        <v/>
      </c>
      <c r="T14" s="106">
        <f>IFERROR(VLOOKUP(INT($I$6)*100+4,METEO_SADM!$A$1:$L$505,7,FALSE),"s/d")</f>
        <v/>
      </c>
      <c r="U14" s="106">
        <f>IFERROR(VLOOKUP(INT($I$6)*100+4,METEO_SADM!$A$1:$L$505,8,FALSE),"s/d")</f>
        <v/>
      </c>
      <c r="V14" s="107">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6">
        <f>IFERROR(VLOOKUP(INT($I$6)*100+5,METEO_SADM!$A$1:$L$505,5,FALSE),"s/d")</f>
        <v/>
      </c>
      <c r="S15" s="106">
        <f>IFERROR(VLOOKUP(INT($I$6)*100+5,METEO_SADM!$A$1:$L$505,6,FALSE),"s/d")</f>
        <v/>
      </c>
      <c r="T15" s="106">
        <f>IFERROR(VLOOKUP(INT($I$6)*100+5,METEO_SADM!$A$1:$L$505,7,FALSE),"s/d")</f>
        <v/>
      </c>
      <c r="U15" s="106">
        <f>IFERROR(VLOOKUP(INT($I$6)*100+5,METEO_SADM!$A$1:$L$505,8,FALSE),"s/d")</f>
        <v/>
      </c>
      <c r="V15" s="107">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6">
        <f>IFERROR(VLOOKUP(INT($I$6)*100+6,METEO_SADM!$A$1:$L$505,5,FALSE),"s/d")</f>
        <v/>
      </c>
      <c r="S16" s="106">
        <f>IFERROR(VLOOKUP(INT($I$6)*100+6,METEO_SADM!$A$1:$L$505,6,FALSE),"s/d")</f>
        <v/>
      </c>
      <c r="T16" s="106">
        <f>IFERROR(VLOOKUP(INT($I$6)*100+6,METEO_SADM!$A$1:$L$505,7,FALSE),"s/d")</f>
        <v/>
      </c>
      <c r="U16" s="106">
        <f>IFERROR(VLOOKUP(INT($I$6)*100+6,METEO_SADM!$A$1:$L$505,8,FALSE),"s/d")</f>
        <v/>
      </c>
      <c r="V16" s="107">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6">
        <f>IFERROR(VLOOKUP(INT($I$6)*100+7,METEO_SADM!$A$1:$L$505,5,FALSE),"s/d")</f>
        <v/>
      </c>
      <c r="S17" s="106">
        <f>IFERROR(VLOOKUP(INT($I$6)*100+7,METEO_SADM!$A$1:$L$505,6,FALSE),"s/d")</f>
        <v/>
      </c>
      <c r="T17" s="106">
        <f>IFERROR(VLOOKUP(INT($I$6)*100+7,METEO_SADM!$A$1:$L$505,7,FALSE),"s/d")</f>
        <v/>
      </c>
      <c r="U17" s="106">
        <f>IFERROR(VLOOKUP(INT($I$6)*100+7,METEO_SADM!$A$1:$L$505,8,FALSE),"s/d")</f>
        <v/>
      </c>
      <c r="V17" s="107">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inlineStr">
        <is>
          <t>IMC</t>
        </is>
      </c>
      <c r="F21" s="12" t="n"/>
      <c r="G21" s="12" t="n"/>
      <c r="H21" s="13">
        <f>SUM(C21:G21)</f>
        <v/>
      </c>
      <c r="I21" s="27" t="n"/>
      <c r="J21" s="32" t="n"/>
      <c r="K21" s="3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inlineStr">
        <is>
          <t>IMC</t>
        </is>
      </c>
      <c r="F22" s="12" t="n"/>
      <c r="G22" s="12" t="n"/>
      <c r="H22" s="13">
        <f>SUM(C22:G22)</f>
        <v/>
      </c>
      <c r="I22" s="27" t="n"/>
      <c r="J22" s="32" t="n"/>
      <c r="K22" s="32" t="n"/>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inlineStr">
        <is>
          <t>IMC</t>
        </is>
      </c>
      <c r="F23" s="12" t="n"/>
      <c r="G23" s="12" t="n"/>
      <c r="H23" s="13">
        <f>SUM(C23:G23)</f>
        <v/>
      </c>
      <c r="I23" s="27" t="n"/>
      <c r="J23" s="32" t="n"/>
      <c r="K23" s="32" t="n"/>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inlineStr">
        <is>
          <t>IMC</t>
        </is>
      </c>
      <c r="F24" s="12" t="n"/>
      <c r="G24" s="12" t="n"/>
      <c r="H24" s="13">
        <f>SUM(C24:G24)</f>
        <v/>
      </c>
      <c r="I24" s="27" t="n"/>
      <c r="J24" s="32" t="n"/>
      <c r="K24" s="32" t="n"/>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c r="D25" s="12" t="n"/>
      <c r="E25" s="12" t="inlineStr">
        <is>
          <t>IMC</t>
        </is>
      </c>
      <c r="F25" s="12" t="n"/>
      <c r="G25" s="12" t="n"/>
      <c r="H25" s="13">
        <f>SUM(C25:G25)</f>
        <v/>
      </c>
      <c r="I25" s="27" t="n"/>
      <c r="J25" s="32" t="n"/>
      <c r="K25" s="32" t="n"/>
      <c r="L25" s="12" t="n"/>
      <c r="M25" s="14" t="n"/>
      <c r="O25" s="4" t="n"/>
      <c r="R25" s="106">
        <f>IFERROR(VLOOKUP(INT($I$6)*100+15,METEO_SADM!$A$1:$L$505,5,FALSE),"s/d")</f>
        <v/>
      </c>
      <c r="S25" s="106">
        <f>IFERROR(VLOOKUP(INT($I$6)*100+15,METEO_SADM!$A$1:$L$505,6,FALSE),"s/d")</f>
        <v/>
      </c>
      <c r="T25" s="106">
        <f>IFERROR(VLOOKUP(INT($I$6)*100+15,METEO_SADM!$A$1:$L$505,7,FALSE),"s/d")</f>
        <v/>
      </c>
      <c r="U25" s="106">
        <f>IFERROR(VLOOKUP(INT($I$6)*100+15,METEO_SADM!$A$1:$L$505,8,FALSE),"s/d")</f>
        <v/>
      </c>
      <c r="V25" s="107">
        <f>IFERROR(VLOOKUP(INT($I$6)*100+15,METEO_SADM!$A$1:$L$505,9,FALSE),"s/d")</f>
        <v/>
      </c>
    </row>
    <row r="26" ht="19.5" customFormat="1" customHeight="1" s="3">
      <c r="A26" s="1" t="n"/>
      <c r="B26" s="11" t="inlineStr">
        <is>
          <t>16 a 17</t>
        </is>
      </c>
      <c r="C26" s="12" t="n"/>
      <c r="D26" s="12" t="n"/>
      <c r="E26" s="12" t="inlineStr">
        <is>
          <t>IMC</t>
        </is>
      </c>
      <c r="F26" s="12" t="n"/>
      <c r="G26" s="12" t="n"/>
      <c r="H26" s="13">
        <f>SUM(C26:G26)</f>
        <v/>
      </c>
      <c r="I26" s="27" t="n"/>
      <c r="J26" s="32" t="n"/>
      <c r="K26" s="32" t="n"/>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inlineStr">
        <is>
          <t>IMC</t>
        </is>
      </c>
      <c r="F27" s="12" t="n"/>
      <c r="G27" s="12" t="n"/>
      <c r="H27" s="13">
        <f>SUM(C27:G27)</f>
        <v/>
      </c>
      <c r="I27" s="27" t="n"/>
      <c r="J27" s="32" t="n"/>
      <c r="K27" s="32" t="n"/>
      <c r="L27" s="12" t="n"/>
      <c r="M27" s="14" t="n"/>
      <c r="O27" s="4" t="n"/>
      <c r="R27" s="106">
        <f>IFERROR(VLOOKUP(INT($I$6)*100+17,METEO_SADM!$A$1:$L$505,5,FALSE),"s/d")</f>
        <v/>
      </c>
      <c r="S27" s="106">
        <f>IFERROR(VLOOKUP(INT($I$6)*100+17,METEO_SADM!$A$1:$L$505,6,FALSE),"s/d")</f>
        <v/>
      </c>
      <c r="T27" s="106">
        <f>IFERROR(VLOOKUP(INT($I$6)*100+17,METEO_SADM!$A$1:$L$505,7,FALSE),"s/d")</f>
        <v/>
      </c>
      <c r="U27" s="106">
        <f>IFERROR(VLOOKUP(INT($I$6)*100+17,METEO_SADM!$A$1:$L$505,8,FALSE),"s/d")</f>
        <v/>
      </c>
      <c r="V27" s="107">
        <f>IFERROR(VLOOKUP(INT($I$6)*100+17,METEO_SADM!$A$1:$L$505,9,FALSE),"s/d")</f>
        <v/>
      </c>
    </row>
    <row r="28" ht="19.5" customFormat="1" customHeight="1" s="3">
      <c r="A28" s="1" t="n"/>
      <c r="B28" s="11" t="inlineStr">
        <is>
          <t>18 a 19</t>
        </is>
      </c>
      <c r="C28" s="12" t="n"/>
      <c r="D28" s="12" t="n"/>
      <c r="E28" s="12" t="inlineStr">
        <is>
          <t>IMC</t>
        </is>
      </c>
      <c r="F28" s="12" t="n"/>
      <c r="G28" s="12" t="n"/>
      <c r="H28" s="13">
        <f>SUM(C28:G28)</f>
        <v/>
      </c>
      <c r="I28" s="27" t="n"/>
      <c r="J28" s="32" t="n"/>
      <c r="K28" s="32" t="n"/>
      <c r="L28" s="12" t="n"/>
      <c r="M28" s="14" t="n"/>
      <c r="O28" s="4" t="n"/>
      <c r="R28" s="106">
        <f>IFERROR(VLOOKUP(INT($I$6)*100+18,METEO_SADM!$A$1:$L$505,5,FALSE),"s/d")</f>
        <v/>
      </c>
      <c r="S28" s="106">
        <f>IFERROR(VLOOKUP(INT($I$6)*100+18,METEO_SADM!$A$1:$L$505,6,FALSE),"s/d")</f>
        <v/>
      </c>
      <c r="T28" s="106">
        <f>IFERROR(VLOOKUP(INT($I$6)*100+18,METEO_SADM!$A$1:$L$505,7,FALSE),"s/d")</f>
        <v/>
      </c>
      <c r="U28" s="106">
        <f>IFERROR(VLOOKUP(INT($I$6)*100+18,METEO_SADM!$A$1:$L$505,8,FALSE),"s/d")</f>
        <v/>
      </c>
      <c r="V28" s="107">
        <f>IFERROR(VLOOKUP(INT($I$6)*100+18,METEO_SADM!$A$1:$L$505,9,FALSE),"s/d")</f>
        <v/>
      </c>
    </row>
    <row r="29" ht="19.5" customFormat="1" customHeight="1" s="3">
      <c r="A29" s="1" t="n"/>
      <c r="B29" s="11" t="inlineStr">
        <is>
          <t xml:space="preserve">19 a 20 </t>
        </is>
      </c>
      <c r="C29" s="12" t="n"/>
      <c r="D29" s="12" t="n"/>
      <c r="E29" s="12" t="n">
        <v>1</v>
      </c>
      <c r="F29" s="12" t="n"/>
      <c r="G29" s="12" t="n"/>
      <c r="H29" s="13">
        <f>SUM(C29:G29)</f>
        <v/>
      </c>
      <c r="I29" s="27" t="n"/>
      <c r="J29" s="32" t="n"/>
      <c r="K29" s="32" t="n">
        <v>1</v>
      </c>
      <c r="L29" s="12" t="n"/>
      <c r="M29" s="14" t="n"/>
      <c r="O29" s="4" t="n"/>
      <c r="R29" s="106">
        <f>IFERROR(VLOOKUP(INT($I$6)*100+19,METEO_SADM!$A$1:$L$505,5,FALSE),"s/d")</f>
        <v/>
      </c>
      <c r="S29" s="106">
        <f>IFERROR(VLOOKUP(INT($I$6)*100+19,METEO_SADM!$A$1:$L$505,6,FALSE),"s/d")</f>
        <v/>
      </c>
      <c r="T29" s="106">
        <f>IFERROR(VLOOKUP(INT($I$6)*100+19,METEO_SADM!$A$1:$L$505,7,FALSE),"s/d")</f>
        <v/>
      </c>
      <c r="U29" s="106">
        <f>IFERROR(VLOOKUP(INT($I$6)*100+19,METEO_SADM!$A$1:$L$505,8,FALSE),"s/d")</f>
        <v/>
      </c>
      <c r="V29" s="107">
        <f>IFERROR(VLOOKUP(INT($I$6)*100+19,METEO_SADM!$A$1:$L$505,9,FALSE),"s/d")</f>
        <v/>
      </c>
    </row>
    <row r="30" ht="19.5" customFormat="1" customHeight="1" s="3">
      <c r="A30" s="1" t="n"/>
      <c r="B30" s="11" t="inlineStr">
        <is>
          <t>20 a 21</t>
        </is>
      </c>
      <c r="C30" s="12" t="n"/>
      <c r="D30" s="12" t="n"/>
      <c r="E30" s="12" t="n">
        <v>1</v>
      </c>
      <c r="F30" s="12" t="n"/>
      <c r="G30" s="12" t="n"/>
      <c r="H30" s="13">
        <f>SUM(C30:G30)</f>
        <v/>
      </c>
      <c r="I30" s="27" t="n"/>
      <c r="J30" s="32" t="n"/>
      <c r="K30" s="32" t="n">
        <v>1</v>
      </c>
      <c r="L30" s="12" t="n"/>
      <c r="M30" s="14" t="n"/>
      <c r="O30" s="4" t="n"/>
      <c r="R30" s="106">
        <f>IFERROR(VLOOKUP(INT($I$6)*100+20,METEO_SADM!$A$1:$L$505,5,FALSE),"s/d")</f>
        <v/>
      </c>
      <c r="S30" s="106">
        <f>IFERROR(VLOOKUP(INT($I$6)*100+20,METEO_SADM!$A$1:$L$505,6,FALSE),"s/d")</f>
        <v/>
      </c>
      <c r="T30" s="106">
        <f>IFERROR(VLOOKUP(INT($I$6)*100+20,METEO_SADM!$A$1:$L$505,7,FALSE),"s/d")</f>
        <v/>
      </c>
      <c r="U30" s="106">
        <f>IFERROR(VLOOKUP(INT($I$6)*100+20,METEO_SADM!$A$1:$L$505,8,FALSE),"s/d")</f>
        <v/>
      </c>
      <c r="V30" s="107">
        <f>IFERROR(VLOOKUP(INT($I$6)*100+20,METEO_SADM!$A$1:$L$505,9,FALSE),"s/d")</f>
        <v/>
      </c>
    </row>
    <row r="31" ht="19.5" customFormat="1" customHeight="1" s="3">
      <c r="A31" s="1" t="n"/>
      <c r="B31" s="11" t="inlineStr">
        <is>
          <t xml:space="preserve">21 a 22 </t>
        </is>
      </c>
      <c r="C31" s="12" t="n"/>
      <c r="D31" s="12" t="n"/>
      <c r="E31" s="12" t="inlineStr">
        <is>
          <t>IMC</t>
        </is>
      </c>
      <c r="F31" s="12" t="n"/>
      <c r="G31" s="12" t="n"/>
      <c r="H31" s="13">
        <f>SUM(C31:G31)</f>
        <v/>
      </c>
      <c r="I31" s="27" t="n"/>
      <c r="J31" s="32" t="n"/>
      <c r="K31" s="32" t="n"/>
      <c r="L31" s="12" t="n"/>
      <c r="M31" s="14" t="n"/>
      <c r="O31" s="4" t="n"/>
      <c r="R31" s="106">
        <f>IFERROR(VLOOKUP(INT($I$6)*100+21,METEO_SADM!$A$1:$L$505,5,FALSE),"s/d")</f>
        <v/>
      </c>
      <c r="S31" s="106">
        <f>IFERROR(VLOOKUP(INT($I$6)*100+21,METEO_SADM!$A$1:$L$505,6,FALSE),"s/d")</f>
        <v/>
      </c>
      <c r="T31" s="106">
        <f>IFERROR(VLOOKUP(INT($I$6)*100+21,METEO_SADM!$A$1:$L$505,7,FALSE),"s/d")</f>
        <v/>
      </c>
      <c r="U31" s="106">
        <f>IFERROR(VLOOKUP(INT($I$6)*100+21,METEO_SADM!$A$1:$L$505,8,FALSE),"s/d")</f>
        <v/>
      </c>
      <c r="V31" s="107">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32" t="n"/>
      <c r="L32" s="12" t="n"/>
      <c r="M32" s="14" t="n"/>
      <c r="O32" s="4" t="n"/>
      <c r="R32" s="106">
        <f>IFERROR(VLOOKUP(INT($I$6)*100+22,METEO_SADM!$A$1:$L$505,5,FALSE),"s/d")</f>
        <v/>
      </c>
      <c r="S32" s="106">
        <f>IFERROR(VLOOKUP(INT($I$6)*100+22,METEO_SADM!$A$1:$L$505,6,FALSE),"s/d")</f>
        <v/>
      </c>
      <c r="T32" s="106">
        <f>IFERROR(VLOOKUP(INT($I$6)*100+22,METEO_SADM!$A$1:$L$505,7,FALSE),"s/d")</f>
        <v/>
      </c>
      <c r="U32" s="106">
        <f>IFERROR(VLOOKUP(INT($I$6)*100+22,METEO_SADM!$A$1:$L$505,8,FALSE),"s/d")</f>
        <v/>
      </c>
      <c r="V32" s="107">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33"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46241</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4">
        <f>IFERROR(VLOOKUP(INT($I$6)*100+10,METEO_SADM!$A$1:$L$505,5,FALSE),"s/d")</f>
        <v/>
      </c>
      <c r="S20" s="104">
        <f>IFERROR(VLOOKUP(INT($I$6)*100+10,METEO_SADM!$A$1:$L$505,6,FALSE),"s/d")</f>
        <v/>
      </c>
      <c r="T20" s="104">
        <f>IFERROR(VLOOKUP(INT($I$6)*100+10,METEO_SADM!$A$1:$L$505,7,FALSE),"s/d")</f>
        <v/>
      </c>
      <c r="U20" s="104">
        <f>IFERROR(VLOOKUP(INT($I$6)*100+10,METEO_SADM!$A$1:$L$505,8,FALSE),"s/d")</f>
        <v/>
      </c>
      <c r="V20" s="105">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v>1</v>
      </c>
      <c r="L21" s="12" t="n"/>
      <c r="M21" s="14" t="n"/>
      <c r="O21" s="4" t="n"/>
      <c r="R21" s="104">
        <f>IFERROR(VLOOKUP(INT($I$6)*100+11,METEO_SADM!$A$1:$L$505,5,FALSE),"s/d")</f>
        <v/>
      </c>
      <c r="S21" s="104">
        <f>IFERROR(VLOOKUP(INT($I$6)*100+11,METEO_SADM!$A$1:$L$505,6,FALSE),"s/d")</f>
        <v/>
      </c>
      <c r="T21" s="104">
        <f>IFERROR(VLOOKUP(INT($I$6)*100+11,METEO_SADM!$A$1:$L$505,7,FALSE),"s/d")</f>
        <v/>
      </c>
      <c r="U21" s="104">
        <f>IFERROR(VLOOKUP(INT($I$6)*100+11,METEO_SADM!$A$1:$L$505,8,FALSE),"s/d")</f>
        <v/>
      </c>
      <c r="V21" s="105">
        <f>IFERROR(VLOOKUP(INT($I$6)*100+11,METEO_SADM!$A$1:$L$505,9,FALSE),"s/d")</f>
        <v/>
      </c>
    </row>
    <row r="22" ht="19.5" customFormat="1" customHeight="1" s="3">
      <c r="A22" s="1" t="n"/>
      <c r="B22" s="11" t="inlineStr">
        <is>
          <t>12 a 13</t>
        </is>
      </c>
      <c r="C22" s="12" t="n"/>
      <c r="D22" s="12" t="n"/>
      <c r="E22" s="12" t="n">
        <v>9</v>
      </c>
      <c r="F22" s="12" t="n"/>
      <c r="G22" s="12" t="n"/>
      <c r="H22" s="13">
        <f>SUM(C22:G22)</f>
        <v/>
      </c>
      <c r="I22" s="27" t="n"/>
      <c r="J22" s="32" t="n"/>
      <c r="K22" s="12" t="n">
        <v>1</v>
      </c>
      <c r="L22" s="12" t="n"/>
      <c r="M22" s="14" t="n"/>
      <c r="O22" s="4" t="n"/>
      <c r="R22" s="104">
        <f>IFERROR(VLOOKUP(INT($I$6)*100+12,METEO_SADM!$A$1:$L$505,5,FALSE),"s/d")</f>
        <v/>
      </c>
      <c r="S22" s="104">
        <f>IFERROR(VLOOKUP(INT($I$6)*100+12,METEO_SADM!$A$1:$L$505,6,FALSE),"s/d")</f>
        <v/>
      </c>
      <c r="T22" s="104">
        <f>IFERROR(VLOOKUP(INT($I$6)*100+12,METEO_SADM!$A$1:$L$505,7,FALSE),"s/d")</f>
        <v/>
      </c>
      <c r="U22" s="104">
        <f>IFERROR(VLOOKUP(INT($I$6)*100+12,METEO_SADM!$A$1:$L$505,8,FALSE),"s/d")</f>
        <v/>
      </c>
      <c r="V22" s="105">
        <f>IFERROR(VLOOKUP(INT($I$6)*100+12,METEO_SADM!$A$1:$L$505,9,FALSE),"s/d")</f>
        <v/>
      </c>
    </row>
    <row r="23" ht="19.5" customFormat="1" customHeight="1" s="3">
      <c r="A23" s="1" t="n"/>
      <c r="B23" s="11" t="inlineStr">
        <is>
          <t>13 a 14</t>
        </is>
      </c>
      <c r="C23" s="12" t="n"/>
      <c r="D23" s="12" t="n"/>
      <c r="E23" s="12" t="n">
        <v>10</v>
      </c>
      <c r="F23" s="12" t="n"/>
      <c r="G23" s="12" t="n"/>
      <c r="H23" s="13">
        <f>SUM(C23:G23)</f>
        <v/>
      </c>
      <c r="I23" s="27" t="n">
        <v>1</v>
      </c>
      <c r="J23" s="32" t="n"/>
      <c r="K23" s="12" t="n">
        <v>1</v>
      </c>
      <c r="L23" s="12" t="n"/>
      <c r="M23" s="14" t="n"/>
      <c r="O23" s="4" t="n"/>
      <c r="R23" s="104">
        <f>IFERROR(VLOOKUP(INT($I$6)*100+13,METEO_SADM!$A$1:$L$505,5,FALSE),"s/d")</f>
        <v/>
      </c>
      <c r="S23" s="104">
        <f>IFERROR(VLOOKUP(INT($I$6)*100+13,METEO_SADM!$A$1:$L$505,6,FALSE),"s/d")</f>
        <v/>
      </c>
      <c r="T23" s="104">
        <f>IFERROR(VLOOKUP(INT($I$6)*100+13,METEO_SADM!$A$1:$L$505,7,FALSE),"s/d")</f>
        <v/>
      </c>
      <c r="U23" s="104">
        <f>IFERROR(VLOOKUP(INT($I$6)*100+13,METEO_SADM!$A$1:$L$505,8,FALSE),"s/d")</f>
        <v/>
      </c>
      <c r="V23" s="105">
        <f>IFERROR(VLOOKUP(INT($I$6)*100+13,METEO_SADM!$A$1:$L$505,9,FALSE),"s/d")</f>
        <v/>
      </c>
    </row>
    <row r="24" ht="19.5" customFormat="1" customHeight="1" s="3">
      <c r="A24" s="1" t="n"/>
      <c r="B24" s="11" t="inlineStr">
        <is>
          <t xml:space="preserve">14 a 15 </t>
        </is>
      </c>
      <c r="C24" s="12" t="n"/>
      <c r="D24" s="12" t="n"/>
      <c r="E24" s="12" t="n">
        <v>9</v>
      </c>
      <c r="F24" s="12" t="n">
        <v>6</v>
      </c>
      <c r="G24" s="12" t="n">
        <v>1</v>
      </c>
      <c r="H24" s="13">
        <f>SUM(C24:G24)</f>
        <v/>
      </c>
      <c r="I24" s="27" t="n"/>
      <c r="J24" s="32" t="n"/>
      <c r="K24" s="12" t="n">
        <v>1</v>
      </c>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10</v>
      </c>
      <c r="F25" s="12" t="n"/>
      <c r="G25" s="12" t="n"/>
      <c r="H25" s="13">
        <f>SUM(C25:G25)</f>
        <v/>
      </c>
      <c r="I25" s="27" t="n"/>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15</v>
      </c>
      <c r="F26" s="12" t="n"/>
      <c r="G26" s="12" t="n">
        <v>1</v>
      </c>
      <c r="H26" s="13">
        <f>SUM(C26:G26)</f>
        <v/>
      </c>
      <c r="I26" s="27" t="n"/>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5</v>
      </c>
      <c r="F27" s="12" t="n">
        <v>4</v>
      </c>
      <c r="G27" s="12" t="n">
        <v>1</v>
      </c>
      <c r="H27" s="13">
        <f>SUM(C27:G27)</f>
        <v/>
      </c>
      <c r="I27" s="27" t="n"/>
      <c r="J27" s="32" t="n"/>
      <c r="K27" s="12" t="n"/>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2</v>
      </c>
      <c r="F28" s="12" t="n"/>
      <c r="G28" s="12" t="n"/>
      <c r="H28" s="13">
        <f>SUM(C28:G28)</f>
        <v/>
      </c>
      <c r="I28" s="27" t="n"/>
      <c r="J28" s="32" t="n">
        <v>1</v>
      </c>
      <c r="K28" s="12" t="n"/>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1</v>
      </c>
      <c r="F29" s="12" t="n"/>
      <c r="G29" s="12" t="n"/>
      <c r="H29" s="13">
        <f>SUM(C29:G29)</f>
        <v/>
      </c>
      <c r="I29" s="27" t="n"/>
      <c r="J29" s="32" t="n">
        <v>1</v>
      </c>
      <c r="K29" s="12" t="n"/>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16</v>
      </c>
      <c r="F30" s="12" t="n">
        <v>4</v>
      </c>
      <c r="G30" s="12" t="n"/>
      <c r="H30" s="13">
        <f>SUM(C30:G30)</f>
        <v/>
      </c>
      <c r="I30" s="27" t="n"/>
      <c r="J30" s="32" t="n">
        <v>1</v>
      </c>
      <c r="K30" s="12" t="n"/>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8</v>
      </c>
      <c r="F31" s="12" t="n"/>
      <c r="G31" s="12" t="n"/>
      <c r="H31" s="13">
        <f>SUM(C31:G31)</f>
        <v/>
      </c>
      <c r="I31" s="27" t="n"/>
      <c r="J31" s="32" t="n">
        <v>1</v>
      </c>
      <c r="K31" s="12" t="n"/>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3:V44"/>
  <sheetViews>
    <sheetView showGridLines="0" topLeftCell="A10" zoomScale="106" zoomScaleNormal="106" workbookViewId="0">
      <selection activeCell="J31" sqref="J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46242</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4">
        <f>IFERROR(VLOOKUP(INT($I$6)*100+10,METEO_SADM!$A$1:$L$505,5,FALSE),"s/d")</f>
        <v/>
      </c>
      <c r="S20" s="104">
        <f>IFERROR(VLOOKUP(INT($I$6)*100+10,METEO_SADM!$A$1:$L$505,6,FALSE),"s/d")</f>
        <v/>
      </c>
      <c r="T20" s="104">
        <f>IFERROR(VLOOKUP(INT($I$6)*100+10,METEO_SADM!$A$1:$L$505,7,FALSE),"s/d")</f>
        <v/>
      </c>
      <c r="U20" s="104">
        <f>IFERROR(VLOOKUP(INT($I$6)*100+10,METEO_SADM!$A$1:$L$505,8,FALSE),"s/d")</f>
        <v/>
      </c>
      <c r="V20" s="105">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04">
        <f>IFERROR(VLOOKUP(INT($I$6)*100+11,METEO_SADM!$A$1:$L$505,5,FALSE),"s/d")</f>
        <v/>
      </c>
      <c r="S21" s="104">
        <f>IFERROR(VLOOKUP(INT($I$6)*100+11,METEO_SADM!$A$1:$L$505,6,FALSE),"s/d")</f>
        <v/>
      </c>
      <c r="T21" s="104">
        <f>IFERROR(VLOOKUP(INT($I$6)*100+11,METEO_SADM!$A$1:$L$505,7,FALSE),"s/d")</f>
        <v/>
      </c>
      <c r="U21" s="104">
        <f>IFERROR(VLOOKUP(INT($I$6)*100+11,METEO_SADM!$A$1:$L$505,8,FALSE),"s/d")</f>
        <v/>
      </c>
      <c r="V21" s="105">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v>1</v>
      </c>
      <c r="K22" s="12" t="n"/>
      <c r="L22" s="12" t="n"/>
      <c r="M22" s="14" t="n"/>
      <c r="O22" s="4" t="n"/>
      <c r="R22" s="104">
        <f>IFERROR(VLOOKUP(INT($I$6)*100+12,METEO_SADM!$A$1:$L$505,5,FALSE),"s/d")</f>
        <v/>
      </c>
      <c r="S22" s="104">
        <f>IFERROR(VLOOKUP(INT($I$6)*100+12,METEO_SADM!$A$1:$L$505,6,FALSE),"s/d")</f>
        <v/>
      </c>
      <c r="T22" s="104">
        <f>IFERROR(VLOOKUP(INT($I$6)*100+12,METEO_SADM!$A$1:$L$505,7,FALSE),"s/d")</f>
        <v/>
      </c>
      <c r="U22" s="104">
        <f>IFERROR(VLOOKUP(INT($I$6)*100+12,METEO_SADM!$A$1:$L$505,8,FALSE),"s/d")</f>
        <v/>
      </c>
      <c r="V22" s="105">
        <f>IFERROR(VLOOKUP(INT($I$6)*100+12,METEO_SADM!$A$1:$L$505,9,FALSE),"s/d")</f>
        <v/>
      </c>
    </row>
    <row r="23" ht="19.5" customFormat="1" customHeight="1" s="3">
      <c r="A23" s="1" t="n"/>
      <c r="B23" s="11" t="inlineStr">
        <is>
          <t>13 a 14</t>
        </is>
      </c>
      <c r="C23" s="12" t="n"/>
      <c r="D23" s="12" t="n"/>
      <c r="E23" s="12" t="n">
        <v>1</v>
      </c>
      <c r="F23" s="12" t="n"/>
      <c r="G23" s="12" t="n">
        <v>9</v>
      </c>
      <c r="H23" s="13">
        <f>SUM(C23:G23)</f>
        <v/>
      </c>
      <c r="I23" s="27" t="n"/>
      <c r="J23" s="32" t="n">
        <v>1</v>
      </c>
      <c r="K23" s="12" t="n"/>
      <c r="L23" s="12" t="n"/>
      <c r="M23" s="14" t="n"/>
      <c r="O23" s="4" t="n"/>
      <c r="R23" s="104">
        <f>IFERROR(VLOOKUP(INT($I$6)*100+13,METEO_SADM!$A$1:$L$505,5,FALSE),"s/d")</f>
        <v/>
      </c>
      <c r="S23" s="104">
        <f>IFERROR(VLOOKUP(INT($I$6)*100+13,METEO_SADM!$A$1:$L$505,6,FALSE),"s/d")</f>
        <v/>
      </c>
      <c r="T23" s="104">
        <f>IFERROR(VLOOKUP(INT($I$6)*100+13,METEO_SADM!$A$1:$L$505,7,FALSE),"s/d")</f>
        <v/>
      </c>
      <c r="U23" s="104">
        <f>IFERROR(VLOOKUP(INT($I$6)*100+13,METEO_SADM!$A$1:$L$505,8,FALSE),"s/d")</f>
        <v/>
      </c>
      <c r="V23" s="105">
        <f>IFERROR(VLOOKUP(INT($I$6)*100+13,METEO_SADM!$A$1:$L$505,9,FALSE),"s/d")</f>
        <v/>
      </c>
    </row>
    <row r="24" ht="19.5" customFormat="1" customHeight="1" s="3">
      <c r="A24" s="1" t="n"/>
      <c r="B24" s="11" t="inlineStr">
        <is>
          <t xml:space="preserve">14 a 15 </t>
        </is>
      </c>
      <c r="C24" s="12" t="n"/>
      <c r="D24" s="12" t="n"/>
      <c r="E24" s="12" t="n">
        <v>1</v>
      </c>
      <c r="F24" s="12" t="n"/>
      <c r="G24" s="12" t="n"/>
      <c r="H24" s="13">
        <f>SUM(C24:G24)</f>
        <v/>
      </c>
      <c r="I24" s="27" t="n"/>
      <c r="J24" s="32" t="n">
        <v>1</v>
      </c>
      <c r="K24" s="12" t="n"/>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4</v>
      </c>
      <c r="F25" s="12" t="n"/>
      <c r="G25" s="12" t="n"/>
      <c r="H25" s="13">
        <f>SUM(C25:G25)</f>
        <v/>
      </c>
      <c r="I25" s="27" t="n"/>
      <c r="J25" s="32" t="n">
        <v>1</v>
      </c>
      <c r="K25" s="12" t="n"/>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7</v>
      </c>
      <c r="F26" s="12" t="n"/>
      <c r="G26" s="12" t="n"/>
      <c r="H26" s="13">
        <f>SUM(C26:G26)</f>
        <v/>
      </c>
      <c r="I26" s="27" t="n"/>
      <c r="J26" s="32" t="n">
        <v>1</v>
      </c>
      <c r="K26" s="12" t="n"/>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4</v>
      </c>
      <c r="F27" s="12" t="n"/>
      <c r="G27" s="12" t="n"/>
      <c r="H27" s="13">
        <f>SUM(C27:G27)</f>
        <v/>
      </c>
      <c r="I27" s="27" t="n"/>
      <c r="J27" s="32" t="n">
        <v>1</v>
      </c>
      <c r="K27" s="12" t="n"/>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8</v>
      </c>
      <c r="F28" s="12" t="n">
        <v>8</v>
      </c>
      <c r="G28" s="12" t="n"/>
      <c r="H28" s="13">
        <f>SUM(C28:G28)</f>
        <v/>
      </c>
      <c r="I28" s="27" t="n"/>
      <c r="J28" s="32" t="n">
        <v>1</v>
      </c>
      <c r="K28" s="12" t="n"/>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15</v>
      </c>
      <c r="F29" s="12" t="n"/>
      <c r="G29" s="12" t="n"/>
      <c r="H29" s="13">
        <f>SUM(C29:G29)</f>
        <v/>
      </c>
      <c r="I29" s="27" t="n"/>
      <c r="J29" s="32" t="n">
        <v>1</v>
      </c>
      <c r="K29" s="12" t="n"/>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11</v>
      </c>
      <c r="F30" s="12" t="n">
        <v>4</v>
      </c>
      <c r="G30" s="12" t="n"/>
      <c r="H30" s="13">
        <f>SUM(C30:G30)</f>
        <v/>
      </c>
      <c r="I30" s="27" t="n"/>
      <c r="J30" s="32" t="n">
        <v>1</v>
      </c>
      <c r="K30" s="12" t="n"/>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47" t="n">
        <v>5</v>
      </c>
      <c r="F31" s="12" t="n"/>
      <c r="G31" s="12" t="n"/>
      <c r="H31" s="13">
        <f>SUM(C31:G31)</f>
        <v/>
      </c>
      <c r="I31" s="27" t="n"/>
      <c r="J31" s="32" t="n">
        <v>1</v>
      </c>
      <c r="K31" s="12" t="n"/>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3:V44"/>
  <sheetViews>
    <sheetView showGridLines="0" topLeftCell="A10" zoomScale="112" zoomScaleNormal="112" workbookViewId="0">
      <selection activeCell="F31" sqref="F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46243</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4">
        <f>IFERROR(VLOOKUP(INT($I$6)*100+10,METEO_SADM!$A$1:$L$505,5,FALSE),"s/d")</f>
        <v/>
      </c>
      <c r="S20" s="104">
        <f>IFERROR(VLOOKUP(INT($I$6)*100+10,METEO_SADM!$A$1:$L$505,6,FALSE),"s/d")</f>
        <v/>
      </c>
      <c r="T20" s="104">
        <f>IFERROR(VLOOKUP(INT($I$6)*100+10,METEO_SADM!$A$1:$L$505,7,FALSE),"s/d")</f>
        <v/>
      </c>
      <c r="U20" s="104">
        <f>IFERROR(VLOOKUP(INT($I$6)*100+10,METEO_SADM!$A$1:$L$505,8,FALSE),"s/d")</f>
        <v/>
      </c>
      <c r="V20" s="105">
        <f>IFERROR(VLOOKUP(INT($I$6)*100+10,METEO_SADM!$A$1:$L$505,9,FALSE),"s/d")</f>
        <v/>
      </c>
    </row>
    <row r="21" ht="19.5" customFormat="1" customHeight="1" s="3">
      <c r="A21" s="1" t="n"/>
      <c r="B21" s="11" t="inlineStr">
        <is>
          <t>11 a 12</t>
        </is>
      </c>
      <c r="C21" s="12" t="n"/>
      <c r="D21" s="12" t="n"/>
      <c r="E21" s="12" t="n">
        <v>7</v>
      </c>
      <c r="F21" s="12" t="n"/>
      <c r="G21" s="12" t="n"/>
      <c r="H21" s="13">
        <f>SUM(C21:G21)</f>
        <v/>
      </c>
      <c r="I21" s="27" t="n">
        <v>1</v>
      </c>
      <c r="J21" s="32" t="n"/>
      <c r="K21" s="12" t="n">
        <v>1</v>
      </c>
      <c r="L21" s="12" t="n"/>
      <c r="M21" s="14" t="n"/>
      <c r="O21" s="4" t="n"/>
      <c r="R21" s="104">
        <f>IFERROR(VLOOKUP(INT($I$6)*100+11,METEO_SADM!$A$1:$L$505,5,FALSE),"s/d")</f>
        <v/>
      </c>
      <c r="S21" s="104">
        <f>IFERROR(VLOOKUP(INT($I$6)*100+11,METEO_SADM!$A$1:$L$505,6,FALSE),"s/d")</f>
        <v/>
      </c>
      <c r="T21" s="104">
        <f>IFERROR(VLOOKUP(INT($I$6)*100+11,METEO_SADM!$A$1:$L$505,7,FALSE),"s/d")</f>
        <v/>
      </c>
      <c r="U21" s="104">
        <f>IFERROR(VLOOKUP(INT($I$6)*100+11,METEO_SADM!$A$1:$L$505,8,FALSE),"s/d")</f>
        <v/>
      </c>
      <c r="V21" s="105">
        <f>IFERROR(VLOOKUP(INT($I$6)*100+11,METEO_SADM!$A$1:$L$505,9,FALSE),"s/d")</f>
        <v/>
      </c>
    </row>
    <row r="22" ht="19.5" customFormat="1" customHeight="1" s="3">
      <c r="A22" s="1" t="n"/>
      <c r="B22" s="11" t="inlineStr">
        <is>
          <t>12 a 13</t>
        </is>
      </c>
      <c r="C22" s="12" t="n"/>
      <c r="D22" s="12" t="n"/>
      <c r="E22" s="12" t="n">
        <v>6</v>
      </c>
      <c r="F22" s="12" t="n"/>
      <c r="G22" s="12" t="n"/>
      <c r="H22" s="13">
        <f>SUM(C22:G22)</f>
        <v/>
      </c>
      <c r="I22" s="27" t="n">
        <v>1</v>
      </c>
      <c r="J22" s="32" t="n"/>
      <c r="K22" s="12" t="n">
        <v>1</v>
      </c>
      <c r="L22" s="12" t="n"/>
      <c r="M22" s="14" t="n"/>
      <c r="O22" s="4" t="n"/>
      <c r="R22" s="104">
        <f>IFERROR(VLOOKUP(INT($I$6)*100+12,METEO_SADM!$A$1:$L$505,5,FALSE),"s/d")</f>
        <v/>
      </c>
      <c r="S22" s="104">
        <f>IFERROR(VLOOKUP(INT($I$6)*100+12,METEO_SADM!$A$1:$L$505,6,FALSE),"s/d")</f>
        <v/>
      </c>
      <c r="T22" s="104">
        <f>IFERROR(VLOOKUP(INT($I$6)*100+12,METEO_SADM!$A$1:$L$505,7,FALSE),"s/d")</f>
        <v/>
      </c>
      <c r="U22" s="104">
        <f>IFERROR(VLOOKUP(INT($I$6)*100+12,METEO_SADM!$A$1:$L$505,8,FALSE),"s/d")</f>
        <v/>
      </c>
      <c r="V22" s="105">
        <f>IFERROR(VLOOKUP(INT($I$6)*100+12,METEO_SADM!$A$1:$L$505,9,FALSE),"s/d")</f>
        <v/>
      </c>
    </row>
    <row r="23" ht="19.5" customFormat="1" customHeight="1" s="3">
      <c r="A23" s="1" t="n"/>
      <c r="B23" s="11" t="inlineStr">
        <is>
          <t>13 a 14</t>
        </is>
      </c>
      <c r="C23" s="12" t="n"/>
      <c r="D23" s="12" t="n"/>
      <c r="E23" s="12" t="n">
        <v>9</v>
      </c>
      <c r="F23" s="12" t="n"/>
      <c r="G23" s="12" t="n"/>
      <c r="H23" s="13">
        <f>SUM(C23:G23)</f>
        <v/>
      </c>
      <c r="I23" s="27" t="n">
        <v>1</v>
      </c>
      <c r="J23" s="32" t="n"/>
      <c r="K23" s="12" t="n">
        <v>1</v>
      </c>
      <c r="L23" s="12" t="n"/>
      <c r="M23" s="14" t="n"/>
      <c r="O23" s="4" t="n"/>
      <c r="R23" s="104">
        <f>IFERROR(VLOOKUP(INT($I$6)*100+13,METEO_SADM!$A$1:$L$505,5,FALSE),"s/d")</f>
        <v/>
      </c>
      <c r="S23" s="104">
        <f>IFERROR(VLOOKUP(INT($I$6)*100+13,METEO_SADM!$A$1:$L$505,6,FALSE),"s/d")</f>
        <v/>
      </c>
      <c r="T23" s="104">
        <f>IFERROR(VLOOKUP(INT($I$6)*100+13,METEO_SADM!$A$1:$L$505,7,FALSE),"s/d")</f>
        <v/>
      </c>
      <c r="U23" s="104">
        <f>IFERROR(VLOOKUP(INT($I$6)*100+13,METEO_SADM!$A$1:$L$505,8,FALSE),"s/d")</f>
        <v/>
      </c>
      <c r="V23" s="105">
        <f>IFERROR(VLOOKUP(INT($I$6)*100+13,METEO_SADM!$A$1:$L$505,9,FALSE),"s/d")</f>
        <v/>
      </c>
    </row>
    <row r="24" ht="19.5" customFormat="1" customHeight="1" s="3">
      <c r="A24" s="1" t="n"/>
      <c r="B24" s="11" t="inlineStr">
        <is>
          <t xml:space="preserve">14 a 15 </t>
        </is>
      </c>
      <c r="C24" s="12" t="n"/>
      <c r="D24" s="12" t="n"/>
      <c r="E24" s="12" t="n">
        <v>5</v>
      </c>
      <c r="F24" s="12" t="n">
        <v>2</v>
      </c>
      <c r="G24" s="12" t="n"/>
      <c r="H24" s="13">
        <f>SUM(C24:G24)</f>
        <v/>
      </c>
      <c r="I24" s="27" t="n"/>
      <c r="J24" s="32" t="n"/>
      <c r="K24" s="12" t="n">
        <v>1</v>
      </c>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9</v>
      </c>
      <c r="F25" s="12" t="n">
        <v>10</v>
      </c>
      <c r="G25" s="12" t="n">
        <v>1</v>
      </c>
      <c r="H25" s="13">
        <f>SUM(C25:G25)</f>
        <v/>
      </c>
      <c r="I25" s="27" t="n"/>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10</v>
      </c>
      <c r="F26" s="12" t="n">
        <v>10</v>
      </c>
      <c r="G26" s="12" t="n"/>
      <c r="H26" s="13">
        <f>SUM(C26:G26)</f>
        <v/>
      </c>
      <c r="I26" s="27" t="n"/>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8</v>
      </c>
      <c r="F27" s="12" t="n">
        <v>16</v>
      </c>
      <c r="G27" s="12" t="n"/>
      <c r="H27" s="13">
        <f>SUM(C27:G27)</f>
        <v/>
      </c>
      <c r="I27" s="27" t="n"/>
      <c r="J27" s="3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14</v>
      </c>
      <c r="F28" s="12" t="n"/>
      <c r="G28" s="12" t="n"/>
      <c r="H28" s="13">
        <f>SUM(C28:G28)</f>
        <v/>
      </c>
      <c r="I28" s="27" t="n"/>
      <c r="J28" s="32" t="n"/>
      <c r="K28" s="1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16</v>
      </c>
      <c r="F29" s="12" t="n">
        <v>2</v>
      </c>
      <c r="G29" s="12" t="n"/>
      <c r="H29" s="13">
        <f>SUM(C29:G29)</f>
        <v/>
      </c>
      <c r="I29" s="27" t="n"/>
      <c r="J29" s="3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15</v>
      </c>
      <c r="F30" s="12" t="n">
        <v>14</v>
      </c>
      <c r="G30" s="12" t="n"/>
      <c r="H30" s="13">
        <f>SUM(C30:G30)</f>
        <v/>
      </c>
      <c r="I30" s="27" t="n"/>
      <c r="J30" s="32" t="n"/>
      <c r="K30" s="1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5</v>
      </c>
      <c r="F31" s="12" t="n"/>
      <c r="G31" s="12" t="n"/>
      <c r="H31" s="13">
        <f>SUM(C31:G31)</f>
        <v/>
      </c>
      <c r="I31" s="27" t="n"/>
      <c r="J31" s="32" t="n"/>
      <c r="K31" s="12" t="n"/>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3:V44"/>
  <sheetViews>
    <sheetView showGridLines="0" topLeftCell="A13" zoomScaleNormal="100" workbookViewId="0">
      <selection activeCell="E31" sqref="E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46244</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4">
        <f>IFERROR(VLOOKUP(INT($I$6)*100+10,METEO_SADM!$A$1:$L$505,5,FALSE),"s/d")</f>
        <v/>
      </c>
      <c r="S20" s="104">
        <f>IFERROR(VLOOKUP(INT($I$6)*100+10,METEO_SADM!$A$1:$L$505,6,FALSE),"s/d")</f>
        <v/>
      </c>
      <c r="T20" s="104">
        <f>IFERROR(VLOOKUP(INT($I$6)*100+10,METEO_SADM!$A$1:$L$505,7,FALSE),"s/d")</f>
        <v/>
      </c>
      <c r="U20" s="104">
        <f>IFERROR(VLOOKUP(INT($I$6)*100+10,METEO_SADM!$A$1:$L$505,8,FALSE),"s/d")</f>
        <v/>
      </c>
      <c r="V20" s="105">
        <f>IFERROR(VLOOKUP(INT($I$6)*100+10,METEO_SADM!$A$1:$L$505,9,FALSE),"s/d")</f>
        <v/>
      </c>
    </row>
    <row r="21" ht="19.5" customFormat="1" customHeight="1" s="3">
      <c r="A21" s="1" t="n"/>
      <c r="B21" s="11" t="inlineStr">
        <is>
          <t>11 a 12</t>
        </is>
      </c>
      <c r="C21" s="12" t="n"/>
      <c r="D21" s="12" t="n"/>
      <c r="E21" s="12" t="n">
        <v>0</v>
      </c>
      <c r="F21" s="12" t="n"/>
      <c r="G21" s="12" t="n"/>
      <c r="H21" s="13">
        <f>SUM(C21:G21)</f>
        <v/>
      </c>
      <c r="I21" s="27" t="n"/>
      <c r="J21" s="32" t="n"/>
      <c r="K21" s="12" t="n">
        <v>1</v>
      </c>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n">
        <v>0</v>
      </c>
      <c r="F22" s="12" t="n"/>
      <c r="G22" s="12" t="n"/>
      <c r="H22" s="13">
        <f>SUM(C22:G22)</f>
        <v/>
      </c>
      <c r="I22" s="27" t="n"/>
      <c r="J22" s="32" t="n"/>
      <c r="K22" s="12" t="n">
        <v>1</v>
      </c>
      <c r="L22" s="12" t="n"/>
      <c r="M22" s="14" t="n"/>
      <c r="O22" s="4" t="n"/>
      <c r="R22" s="104">
        <f>IFERROR(VLOOKUP(INT($I$6)*100+12,METEO_SADM!$A$1:$L$505,5,FALSE),"s/d")</f>
        <v/>
      </c>
      <c r="S22" s="104">
        <f>IFERROR(VLOOKUP(INT($I$6)*100+12,METEO_SADM!$A$1:$L$505,6,FALSE),"s/d")</f>
        <v/>
      </c>
      <c r="T22" s="104">
        <f>IFERROR(VLOOKUP(INT($I$6)*100+12,METEO_SADM!$A$1:$L$505,7,FALSE),"s/d")</f>
        <v/>
      </c>
      <c r="U22" s="104">
        <f>IFERROR(VLOOKUP(INT($I$6)*100+12,METEO_SADM!$A$1:$L$505,8,FALSE),"s/d")</f>
        <v/>
      </c>
      <c r="V22" s="105">
        <f>IFERROR(VLOOKUP(INT($I$6)*100+12,METEO_SADM!$A$1:$L$505,9,FALSE),"s/d")</f>
        <v/>
      </c>
    </row>
    <row r="23" ht="19.5" customFormat="1" customHeight="1" s="3">
      <c r="A23" s="1" t="n"/>
      <c r="B23" s="11" t="inlineStr">
        <is>
          <t>13 a 14</t>
        </is>
      </c>
      <c r="C23" s="12" t="n"/>
      <c r="D23" s="12" t="n"/>
      <c r="E23" s="12" t="n">
        <v>1</v>
      </c>
      <c r="F23" s="12" t="n"/>
      <c r="G23" s="12" t="n"/>
      <c r="H23" s="13">
        <f>SUM(C23:G23)</f>
        <v/>
      </c>
      <c r="I23" s="27" t="n"/>
      <c r="J23" s="32" t="n"/>
      <c r="K23" s="12" t="n">
        <v>1</v>
      </c>
      <c r="L23" s="12" t="n"/>
      <c r="M23" s="14" t="n"/>
      <c r="O23" s="4" t="n"/>
      <c r="R23" s="104">
        <f>IFERROR(VLOOKUP(INT($I$6)*100+13,METEO_SADM!$A$1:$L$505,5,FALSE),"s/d")</f>
        <v/>
      </c>
      <c r="S23" s="104">
        <f>IFERROR(VLOOKUP(INT($I$6)*100+13,METEO_SADM!$A$1:$L$505,6,FALSE),"s/d")</f>
        <v/>
      </c>
      <c r="T23" s="104">
        <f>IFERROR(VLOOKUP(INT($I$6)*100+13,METEO_SADM!$A$1:$L$505,7,FALSE),"s/d")</f>
        <v/>
      </c>
      <c r="U23" s="104">
        <f>IFERROR(VLOOKUP(INT($I$6)*100+13,METEO_SADM!$A$1:$L$505,8,FALSE),"s/d")</f>
        <v/>
      </c>
      <c r="V23" s="105">
        <f>IFERROR(VLOOKUP(INT($I$6)*100+13,METEO_SADM!$A$1:$L$505,9,FALSE),"s/d")</f>
        <v/>
      </c>
    </row>
    <row r="24" ht="19.5" customFormat="1" customHeight="1" s="3">
      <c r="A24" s="1" t="n"/>
      <c r="B24" s="11" t="inlineStr">
        <is>
          <t xml:space="preserve">14 a 15 </t>
        </is>
      </c>
      <c r="C24" s="12" t="n"/>
      <c r="D24" s="12" t="n"/>
      <c r="E24" s="12" t="n">
        <v>1</v>
      </c>
      <c r="F24" s="12" t="n"/>
      <c r="G24" s="12" t="n"/>
      <c r="H24" s="13">
        <f>SUM(C24:G24)</f>
        <v/>
      </c>
      <c r="I24" s="27" t="n"/>
      <c r="J24" s="32" t="n"/>
      <c r="K24" s="12" t="n">
        <v>1</v>
      </c>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2</v>
      </c>
      <c r="F25" s="12" t="n"/>
      <c r="G25" s="12" t="n"/>
      <c r="H25" s="13">
        <f>SUM(C25:G25)</f>
        <v/>
      </c>
      <c r="I25" s="27" t="n">
        <v>1</v>
      </c>
      <c r="J25" s="32" t="n"/>
      <c r="K25" s="3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3</v>
      </c>
      <c r="F26" s="12" t="n">
        <v>8</v>
      </c>
      <c r="G26" s="12" t="n"/>
      <c r="H26" s="13">
        <f>SUM(C26:G26)</f>
        <v/>
      </c>
      <c r="I26" s="27" t="n"/>
      <c r="J26" s="32" t="n"/>
      <c r="K26" s="3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13</v>
      </c>
      <c r="F27" s="12" t="n"/>
      <c r="G27" s="12" t="n"/>
      <c r="H27" s="13">
        <f>SUM(C27:G27)</f>
        <v/>
      </c>
      <c r="I27" s="27" t="n"/>
      <c r="J27" s="32" t="n"/>
      <c r="K27" s="3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21</v>
      </c>
      <c r="F28" s="12" t="n">
        <v>6</v>
      </c>
      <c r="G28" s="12" t="n"/>
      <c r="H28" s="13">
        <f>SUM(C28:G28)</f>
        <v/>
      </c>
      <c r="I28" s="27" t="n"/>
      <c r="J28" s="32" t="n"/>
      <c r="K28" s="3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30</v>
      </c>
      <c r="F29" s="12" t="n">
        <v>22</v>
      </c>
      <c r="G29" s="12" t="n"/>
      <c r="H29" s="13">
        <f>SUM(C29:G29)</f>
        <v/>
      </c>
      <c r="I29" s="27" t="n"/>
      <c r="J29" s="32" t="n"/>
      <c r="K29" s="3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26</v>
      </c>
      <c r="F30" s="12" t="n">
        <v>6</v>
      </c>
      <c r="G30" s="12" t="n"/>
      <c r="H30" s="13">
        <f>SUM(C30:G30)</f>
        <v/>
      </c>
      <c r="I30" s="27" t="n"/>
      <c r="J30" s="32" t="n"/>
      <c r="K30" s="3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9</v>
      </c>
      <c r="F31" s="12" t="n"/>
      <c r="G31" s="12" t="n"/>
      <c r="H31" s="13">
        <f>SUM(C31:G31)</f>
        <v/>
      </c>
      <c r="I31" s="27" t="n"/>
      <c r="J31" s="32" t="n"/>
      <c r="K31" s="32" t="n">
        <v>1</v>
      </c>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3:V44"/>
  <sheetViews>
    <sheetView showGridLines="0" topLeftCell="A13" zoomScale="112" zoomScaleNormal="112" workbookViewId="0">
      <selection activeCell="F31" sqref="F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46245</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4">
        <f>IFERROR(VLOOKUP(INT($I$6)*100+10,METEO_SADM!$A$1:$L$505,5,FALSE),"s/d")</f>
        <v/>
      </c>
      <c r="S20" s="104">
        <f>IFERROR(VLOOKUP(INT($I$6)*100+10,METEO_SADM!$A$1:$L$505,6,FALSE),"s/d")</f>
        <v/>
      </c>
      <c r="T20" s="104">
        <f>IFERROR(VLOOKUP(INT($I$6)*100+10,METEO_SADM!$A$1:$L$505,7,FALSE),"s/d")</f>
        <v/>
      </c>
      <c r="U20" s="104">
        <f>IFERROR(VLOOKUP(INT($I$6)*100+10,METEO_SADM!$A$1:$L$505,8,FALSE),"s/d")</f>
        <v/>
      </c>
      <c r="V20" s="105">
        <f>IFERROR(VLOOKUP(INT($I$6)*100+10,METEO_SADM!$A$1:$L$505,9,FALSE),"s/d")</f>
        <v/>
      </c>
    </row>
    <row r="21" ht="19.5" customFormat="1" customHeight="1" s="3">
      <c r="A21" s="1" t="n"/>
      <c r="B21" s="11" t="inlineStr">
        <is>
          <t>11 a 12</t>
        </is>
      </c>
      <c r="C21" s="12" t="n"/>
      <c r="D21" s="12" t="n"/>
      <c r="E21" s="12" t="n">
        <v>6</v>
      </c>
      <c r="F21" s="12" t="n"/>
      <c r="G21" s="12" t="n"/>
      <c r="H21" s="13">
        <f>SUM(C21:G21)</f>
        <v/>
      </c>
      <c r="I21" s="27" t="n"/>
      <c r="J21" s="32" t="n"/>
      <c r="K21" s="12" t="n">
        <v>1</v>
      </c>
      <c r="L21" s="12" t="n"/>
      <c r="M21" s="14" t="n"/>
      <c r="O21" s="4" t="n"/>
      <c r="R21" s="104">
        <f>IFERROR(VLOOKUP(INT($I$6)*100+11,METEO_SADM!$A$1:$L$505,5,FALSE),"s/d")</f>
        <v/>
      </c>
      <c r="S21" s="104">
        <f>IFERROR(VLOOKUP(INT($I$6)*100+11,METEO_SADM!$A$1:$L$505,6,FALSE),"s/d")</f>
        <v/>
      </c>
      <c r="T21" s="104">
        <f>IFERROR(VLOOKUP(INT($I$6)*100+11,METEO_SADM!$A$1:$L$505,7,FALSE),"s/d")</f>
        <v/>
      </c>
      <c r="U21" s="104">
        <f>IFERROR(VLOOKUP(INT($I$6)*100+11,METEO_SADM!$A$1:$L$505,8,FALSE),"s/d")</f>
        <v/>
      </c>
      <c r="V21" s="105">
        <f>IFERROR(VLOOKUP(INT($I$6)*100+11,METEO_SADM!$A$1:$L$505,9,FALSE),"s/d")</f>
        <v/>
      </c>
    </row>
    <row r="22" ht="19.5" customFormat="1" customHeight="1" s="3">
      <c r="A22" s="1" t="n"/>
      <c r="B22" s="11" t="inlineStr">
        <is>
          <t>12 a 13</t>
        </is>
      </c>
      <c r="C22" s="12" t="n"/>
      <c r="D22" s="12" t="n"/>
      <c r="E22" s="12" t="n">
        <v>20</v>
      </c>
      <c r="F22" s="12" t="n"/>
      <c r="G22" s="12" t="n"/>
      <c r="H22" s="13">
        <f>SUM(C22:G22)</f>
        <v/>
      </c>
      <c r="I22" s="27" t="n"/>
      <c r="J22" s="32" t="n"/>
      <c r="K22" s="12" t="n">
        <v>1</v>
      </c>
      <c r="L22" s="12" t="n"/>
      <c r="M22" s="14" t="n"/>
      <c r="O22" s="4" t="n"/>
      <c r="R22" s="104">
        <f>IFERROR(VLOOKUP(INT($I$6)*100+12,METEO_SADM!$A$1:$L$505,5,FALSE),"s/d")</f>
        <v/>
      </c>
      <c r="S22" s="104">
        <f>IFERROR(VLOOKUP(INT($I$6)*100+12,METEO_SADM!$A$1:$L$505,6,FALSE),"s/d")</f>
        <v/>
      </c>
      <c r="T22" s="104">
        <f>IFERROR(VLOOKUP(INT($I$6)*100+12,METEO_SADM!$A$1:$L$505,7,FALSE),"s/d")</f>
        <v/>
      </c>
      <c r="U22" s="104">
        <f>IFERROR(VLOOKUP(INT($I$6)*100+12,METEO_SADM!$A$1:$L$505,8,FALSE),"s/d")</f>
        <v/>
      </c>
      <c r="V22" s="105">
        <f>IFERROR(VLOOKUP(INT($I$6)*100+12,METEO_SADM!$A$1:$L$505,9,FALSE),"s/d")</f>
        <v/>
      </c>
    </row>
    <row r="23" ht="19.5" customFormat="1" customHeight="1" s="3">
      <c r="A23" s="1" t="n"/>
      <c r="B23" s="11" t="inlineStr">
        <is>
          <t>13 a 14</t>
        </is>
      </c>
      <c r="C23" s="12" t="n"/>
      <c r="D23" s="12" t="n"/>
      <c r="E23" s="12" t="n">
        <v>24</v>
      </c>
      <c r="F23" s="12" t="n">
        <v>14</v>
      </c>
      <c r="G23" s="12" t="n"/>
      <c r="H23" s="13">
        <f>SUM(C23:G23)</f>
        <v/>
      </c>
      <c r="I23" s="27" t="n"/>
      <c r="J23" s="32" t="n"/>
      <c r="K23" s="12" t="n">
        <v>1</v>
      </c>
      <c r="L23" s="12" t="n"/>
      <c r="M23" s="14" t="n"/>
      <c r="O23" s="4" t="n"/>
      <c r="R23" s="104">
        <f>IFERROR(VLOOKUP(INT($I$6)*100+13,METEO_SADM!$A$1:$L$505,5,FALSE),"s/d")</f>
        <v/>
      </c>
      <c r="S23" s="104">
        <f>IFERROR(VLOOKUP(INT($I$6)*100+13,METEO_SADM!$A$1:$L$505,6,FALSE),"s/d")</f>
        <v/>
      </c>
      <c r="T23" s="104">
        <f>IFERROR(VLOOKUP(INT($I$6)*100+13,METEO_SADM!$A$1:$L$505,7,FALSE),"s/d")</f>
        <v/>
      </c>
      <c r="U23" s="104">
        <f>IFERROR(VLOOKUP(INT($I$6)*100+13,METEO_SADM!$A$1:$L$505,8,FALSE),"s/d")</f>
        <v/>
      </c>
      <c r="V23" s="105">
        <f>IFERROR(VLOOKUP(INT($I$6)*100+13,METEO_SADM!$A$1:$L$505,9,FALSE),"s/d")</f>
        <v/>
      </c>
    </row>
    <row r="24" ht="19.5" customFormat="1" customHeight="1" s="3">
      <c r="A24" s="1" t="n"/>
      <c r="B24" s="11" t="inlineStr">
        <is>
          <t xml:space="preserve">14 a 15 </t>
        </is>
      </c>
      <c r="C24" s="12" t="n"/>
      <c r="D24" s="12" t="n"/>
      <c r="E24" s="12" t="n">
        <v>32</v>
      </c>
      <c r="F24" s="12" t="n">
        <v>4</v>
      </c>
      <c r="G24" s="12" t="n">
        <v>1</v>
      </c>
      <c r="H24" s="13">
        <f>SUM(C24:G24)</f>
        <v/>
      </c>
      <c r="I24" s="27" t="n"/>
      <c r="J24" s="32" t="n"/>
      <c r="K24" s="12" t="n">
        <v>1</v>
      </c>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24</v>
      </c>
      <c r="F25" s="12" t="n">
        <v>6</v>
      </c>
      <c r="G25" s="12" t="n"/>
      <c r="H25" s="13">
        <f>SUM(C25:G25)</f>
        <v/>
      </c>
      <c r="I25" s="27" t="n">
        <v>1</v>
      </c>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26</v>
      </c>
      <c r="F26" s="12" t="n">
        <v>4</v>
      </c>
      <c r="G26" s="12" t="n"/>
      <c r="H26" s="13">
        <f>SUM(C26:G26)</f>
        <v/>
      </c>
      <c r="I26" s="27" t="n"/>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29</v>
      </c>
      <c r="F27" s="12" t="n">
        <v>10</v>
      </c>
      <c r="G27" s="12" t="n"/>
      <c r="H27" s="13">
        <f>SUM(C27:G27)</f>
        <v/>
      </c>
      <c r="I27" s="27" t="n"/>
      <c r="J27" s="32" t="n">
        <v>1</v>
      </c>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29</v>
      </c>
      <c r="F28" s="12" t="n">
        <v>14</v>
      </c>
      <c r="G28" s="12" t="n"/>
      <c r="H28" s="13">
        <f>SUM(C28:G28)</f>
        <v/>
      </c>
      <c r="I28" s="27" t="n"/>
      <c r="J28" s="32" t="n">
        <v>1</v>
      </c>
      <c r="K28" s="12" t="n"/>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25</v>
      </c>
      <c r="F29" s="12" t="n">
        <v>2</v>
      </c>
      <c r="G29" s="12" t="n"/>
      <c r="H29" s="13">
        <f>SUM(C29:G29)</f>
        <v/>
      </c>
      <c r="I29" s="27" t="n"/>
      <c r="J29" s="32" t="n">
        <v>1</v>
      </c>
      <c r="K29" s="12" t="n"/>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35</v>
      </c>
      <c r="F30" s="12" t="n">
        <v>4</v>
      </c>
      <c r="G30" s="12" t="n"/>
      <c r="H30" s="13">
        <f>SUM(C30:G30)</f>
        <v/>
      </c>
      <c r="I30" s="27" t="n"/>
      <c r="J30" s="32" t="n">
        <v>1</v>
      </c>
      <c r="K30" s="12" t="n"/>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12</v>
      </c>
      <c r="F31" s="12" t="n">
        <v>2</v>
      </c>
      <c r="G31" s="12" t="n"/>
      <c r="H31" s="13">
        <f>SUM(C31:G31)</f>
        <v/>
      </c>
      <c r="I31" s="27" t="n"/>
      <c r="J31" s="32" t="n">
        <v>1</v>
      </c>
      <c r="K31" s="12" t="n"/>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3:V44"/>
  <sheetViews>
    <sheetView showGridLines="0" topLeftCell="A10" zoomScaleNormal="100" workbookViewId="0">
      <selection activeCell="K31" sqref="K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46246</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4">
        <f>IFERROR(VLOOKUP(INT($I$6)*100+10,METEO_SADM!$A$1:$L$505,5,FALSE),"s/d")</f>
        <v/>
      </c>
      <c r="S20" s="104">
        <f>IFERROR(VLOOKUP(INT($I$6)*100+10,METEO_SADM!$A$1:$L$505,6,FALSE),"s/d")</f>
        <v/>
      </c>
      <c r="T20" s="104">
        <f>IFERROR(VLOOKUP(INT($I$6)*100+10,METEO_SADM!$A$1:$L$505,7,FALSE),"s/d")</f>
        <v/>
      </c>
      <c r="U20" s="104">
        <f>IFERROR(VLOOKUP(INT($I$6)*100+10,METEO_SADM!$A$1:$L$505,8,FALSE),"s/d")</f>
        <v/>
      </c>
      <c r="V20" s="105">
        <f>IFERROR(VLOOKUP(INT($I$6)*100+10,METEO_SADM!$A$1:$L$505,9,FALSE),"s/d")</f>
        <v/>
      </c>
    </row>
    <row r="21" ht="19.5" customFormat="1" customHeight="1" s="3">
      <c r="A21" s="1" t="n"/>
      <c r="B21" s="11" t="inlineStr">
        <is>
          <t>11 a 12</t>
        </is>
      </c>
      <c r="C21" s="12" t="n"/>
      <c r="D21" s="12" t="n"/>
      <c r="E21" s="12" t="n">
        <v>4</v>
      </c>
      <c r="F21" s="12" t="n"/>
      <c r="G21" s="12" t="n"/>
      <c r="H21" s="13">
        <f>SUM(C21:G21)</f>
        <v/>
      </c>
      <c r="I21" s="27" t="n"/>
      <c r="J21" s="32" t="n"/>
      <c r="K21" s="12" t="n">
        <v>1</v>
      </c>
      <c r="L21" s="12" t="n"/>
      <c r="M21" s="14" t="n"/>
      <c r="O21" s="4" t="n"/>
      <c r="R21" s="104">
        <f>IFERROR(VLOOKUP(INT($I$6)*100+11,METEO_SADM!$A$1:$L$505,5,FALSE),"s/d")</f>
        <v/>
      </c>
      <c r="S21" s="104">
        <f>IFERROR(VLOOKUP(INT($I$6)*100+11,METEO_SADM!$A$1:$L$505,6,FALSE),"s/d")</f>
        <v/>
      </c>
      <c r="T21" s="104">
        <f>IFERROR(VLOOKUP(INT($I$6)*100+11,METEO_SADM!$A$1:$L$505,7,FALSE),"s/d")</f>
        <v/>
      </c>
      <c r="U21" s="104">
        <f>IFERROR(VLOOKUP(INT($I$6)*100+11,METEO_SADM!$A$1:$L$505,8,FALSE),"s/d")</f>
        <v/>
      </c>
      <c r="V21" s="105">
        <f>IFERROR(VLOOKUP(INT($I$6)*100+11,METEO_SADM!$A$1:$L$505,9,FALSE),"s/d")</f>
        <v/>
      </c>
    </row>
    <row r="22" ht="19.5" customFormat="1" customHeight="1" s="3">
      <c r="A22" s="1" t="n"/>
      <c r="B22" s="11" t="inlineStr">
        <is>
          <t>12 a 13</t>
        </is>
      </c>
      <c r="C22" s="12" t="n"/>
      <c r="D22" s="12" t="n"/>
      <c r="E22" s="12" t="n">
        <v>12</v>
      </c>
      <c r="F22" s="12" t="n">
        <v>18</v>
      </c>
      <c r="G22" s="12" t="n">
        <v>1</v>
      </c>
      <c r="H22" s="13">
        <f>SUM(C22:G22)</f>
        <v/>
      </c>
      <c r="I22" s="27" t="n"/>
      <c r="J22" s="32" t="n"/>
      <c r="K22" s="12" t="n">
        <v>1</v>
      </c>
      <c r="L22" s="12" t="n"/>
      <c r="M22" s="14" t="n"/>
      <c r="O22" s="4" t="n"/>
      <c r="R22" s="104">
        <f>IFERROR(VLOOKUP(INT($I$6)*100+12,METEO_SADM!$A$1:$L$505,5,FALSE),"s/d")</f>
        <v/>
      </c>
      <c r="S22" s="104">
        <f>IFERROR(VLOOKUP(INT($I$6)*100+12,METEO_SADM!$A$1:$L$505,6,FALSE),"s/d")</f>
        <v/>
      </c>
      <c r="T22" s="104">
        <f>IFERROR(VLOOKUP(INT($I$6)*100+12,METEO_SADM!$A$1:$L$505,7,FALSE),"s/d")</f>
        <v/>
      </c>
      <c r="U22" s="104">
        <f>IFERROR(VLOOKUP(INT($I$6)*100+12,METEO_SADM!$A$1:$L$505,8,FALSE),"s/d")</f>
        <v/>
      </c>
      <c r="V22" s="105">
        <f>IFERROR(VLOOKUP(INT($I$6)*100+12,METEO_SADM!$A$1:$L$505,9,FALSE),"s/d")</f>
        <v/>
      </c>
    </row>
    <row r="23" ht="19.5" customFormat="1" customHeight="1" s="3">
      <c r="A23" s="1" t="n"/>
      <c r="B23" s="11" t="inlineStr">
        <is>
          <t>13 a 14</t>
        </is>
      </c>
      <c r="C23" s="12" t="n"/>
      <c r="D23" s="12" t="n"/>
      <c r="E23" s="12" t="n">
        <v>15</v>
      </c>
      <c r="F23" s="12" t="n"/>
      <c r="G23" s="12" t="n"/>
      <c r="H23" s="13">
        <f>SUM(C23:G23)</f>
        <v/>
      </c>
      <c r="I23" s="27" t="n"/>
      <c r="J23" s="32" t="n"/>
      <c r="K23" s="12" t="n">
        <v>1</v>
      </c>
      <c r="L23" s="12" t="n"/>
      <c r="M23" s="14" t="n"/>
      <c r="O23" s="4" t="n"/>
      <c r="R23" s="104">
        <f>IFERROR(VLOOKUP(INT($I$6)*100+13,METEO_SADM!$A$1:$L$505,5,FALSE),"s/d")</f>
        <v/>
      </c>
      <c r="S23" s="104">
        <f>IFERROR(VLOOKUP(INT($I$6)*100+13,METEO_SADM!$A$1:$L$505,6,FALSE),"s/d")</f>
        <v/>
      </c>
      <c r="T23" s="104">
        <f>IFERROR(VLOOKUP(INT($I$6)*100+13,METEO_SADM!$A$1:$L$505,7,FALSE),"s/d")</f>
        <v/>
      </c>
      <c r="U23" s="104">
        <f>IFERROR(VLOOKUP(INT($I$6)*100+13,METEO_SADM!$A$1:$L$505,8,FALSE),"s/d")</f>
        <v/>
      </c>
      <c r="V23" s="105">
        <f>IFERROR(VLOOKUP(INT($I$6)*100+13,METEO_SADM!$A$1:$L$505,9,FALSE),"s/d")</f>
        <v/>
      </c>
    </row>
    <row r="24" ht="19.5" customFormat="1" customHeight="1" s="3">
      <c r="A24" s="1" t="n"/>
      <c r="B24" s="11" t="inlineStr">
        <is>
          <t xml:space="preserve">14 a 15 </t>
        </is>
      </c>
      <c r="C24" s="12" t="n"/>
      <c r="D24" s="12" t="n"/>
      <c r="E24" s="12" t="n">
        <v>18</v>
      </c>
      <c r="F24" s="12" t="n">
        <v>18</v>
      </c>
      <c r="G24" s="12" t="n">
        <v>1</v>
      </c>
      <c r="H24" s="13">
        <f>SUM(C24:G24)</f>
        <v/>
      </c>
      <c r="I24" s="27" t="n"/>
      <c r="J24" s="32" t="n"/>
      <c r="K24" s="12" t="n">
        <v>1</v>
      </c>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21</v>
      </c>
      <c r="F25" s="12" t="n">
        <v>2</v>
      </c>
      <c r="G25" s="12" t="n"/>
      <c r="H25" s="13">
        <f>SUM(C25:G25)</f>
        <v/>
      </c>
      <c r="I25" s="27" t="n"/>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19</v>
      </c>
      <c r="F26" s="12" t="n">
        <v>16</v>
      </c>
      <c r="G26" s="12" t="n"/>
      <c r="H26" s="13">
        <f>SUM(C26:G26)</f>
        <v/>
      </c>
      <c r="I26" s="27" t="n"/>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18</v>
      </c>
      <c r="F27" s="12" t="n">
        <v>28</v>
      </c>
      <c r="G27" s="12" t="n"/>
      <c r="H27" s="13">
        <f>SUM(C27:G27)</f>
        <v/>
      </c>
      <c r="I27" s="27" t="n"/>
      <c r="J27" s="3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18</v>
      </c>
      <c r="F28" s="12" t="n">
        <v>14</v>
      </c>
      <c r="G28" s="12" t="n"/>
      <c r="H28" s="13">
        <f>SUM(C28:G28)</f>
        <v/>
      </c>
      <c r="I28" s="27" t="n"/>
      <c r="J28" s="32" t="n"/>
      <c r="K28" s="1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25</v>
      </c>
      <c r="F29" s="12" t="n">
        <v>26</v>
      </c>
      <c r="G29" s="12" t="n"/>
      <c r="H29" s="13">
        <f>SUM(C29:G29)</f>
        <v/>
      </c>
      <c r="I29" s="27" t="n"/>
      <c r="J29" s="3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13</v>
      </c>
      <c r="F30" s="12" t="n">
        <v>18</v>
      </c>
      <c r="G30" s="12" t="n"/>
      <c r="H30" s="13">
        <f>SUM(C30:G30)</f>
        <v/>
      </c>
      <c r="I30" s="27" t="n"/>
      <c r="J30" s="32" t="n"/>
      <c r="K30" s="1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7</v>
      </c>
      <c r="F31" s="12" t="n">
        <v>16</v>
      </c>
      <c r="G31" s="12" t="n"/>
      <c r="H31" s="13">
        <f>SUM(C31:G31)</f>
        <v/>
      </c>
      <c r="I31" s="27" t="n"/>
      <c r="J31" s="32" t="n"/>
      <c r="K31" s="12" t="n">
        <v>1</v>
      </c>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3:V44"/>
  <sheetViews>
    <sheetView showGridLines="0" topLeftCell="A13" zoomScale="112" zoomScaleNormal="112" workbookViewId="0">
      <selection activeCell="K31" sqref="K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46247</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4">
        <f>IFERROR(VLOOKUP(INT($I$6)*100+10,METEO_SADM!$A$1:$L$505,5,FALSE),"s/d")</f>
        <v/>
      </c>
      <c r="S20" s="104">
        <f>IFERROR(VLOOKUP(INT($I$6)*100+10,METEO_SADM!$A$1:$L$505,6,FALSE),"s/d")</f>
        <v/>
      </c>
      <c r="T20" s="104">
        <f>IFERROR(VLOOKUP(INT($I$6)*100+10,METEO_SADM!$A$1:$L$505,7,FALSE),"s/d")</f>
        <v/>
      </c>
      <c r="U20" s="104">
        <f>IFERROR(VLOOKUP(INT($I$6)*100+10,METEO_SADM!$A$1:$L$505,8,FALSE),"s/d")</f>
        <v/>
      </c>
      <c r="V20" s="105">
        <f>IFERROR(VLOOKUP(INT($I$6)*100+10,METEO_SADM!$A$1:$L$505,9,FALSE),"s/d")</f>
        <v/>
      </c>
    </row>
    <row r="21" ht="19.5" customFormat="1" customHeight="1" s="3">
      <c r="A21" s="1" t="n"/>
      <c r="B21" s="11" t="inlineStr">
        <is>
          <t>11 a 12</t>
        </is>
      </c>
      <c r="C21" s="12" t="n"/>
      <c r="D21" s="12" t="n"/>
      <c r="E21" s="12" t="n">
        <v>4</v>
      </c>
      <c r="F21" s="12" t="n"/>
      <c r="G21" s="12" t="n"/>
      <c r="H21" s="13">
        <f>SUM(C21:G21)</f>
        <v/>
      </c>
      <c r="I21" s="27" t="n"/>
      <c r="J21" s="32" t="n"/>
      <c r="K21" s="12" t="n">
        <v>1</v>
      </c>
      <c r="L21" s="12" t="n"/>
      <c r="M21" s="14" t="n"/>
      <c r="O21" s="4" t="n"/>
      <c r="R21" s="104">
        <f>IFERROR(VLOOKUP(INT($I$6)*100+11,METEO_SADM!$A$1:$L$505,5,FALSE),"s/d")</f>
        <v/>
      </c>
      <c r="S21" s="104">
        <f>IFERROR(VLOOKUP(INT($I$6)*100+11,METEO_SADM!$A$1:$L$505,6,FALSE),"s/d")</f>
        <v/>
      </c>
      <c r="T21" s="104">
        <f>IFERROR(VLOOKUP(INT($I$6)*100+11,METEO_SADM!$A$1:$L$505,7,FALSE),"s/d")</f>
        <v/>
      </c>
      <c r="U21" s="104">
        <f>IFERROR(VLOOKUP(INT($I$6)*100+11,METEO_SADM!$A$1:$L$505,8,FALSE),"s/d")</f>
        <v/>
      </c>
      <c r="V21" s="105">
        <f>IFERROR(VLOOKUP(INT($I$6)*100+11,METEO_SADM!$A$1:$L$505,9,FALSE),"s/d")</f>
        <v/>
      </c>
    </row>
    <row r="22" ht="19.5" customFormat="1" customHeight="1" s="3">
      <c r="A22" s="1" t="n"/>
      <c r="B22" s="11" t="inlineStr">
        <is>
          <t>12 a 13</t>
        </is>
      </c>
      <c r="C22" s="12" t="n"/>
      <c r="D22" s="12" t="n"/>
      <c r="E22" s="12" t="n">
        <v>8</v>
      </c>
      <c r="F22" s="12" t="n">
        <v>4</v>
      </c>
      <c r="G22" s="12" t="n"/>
      <c r="H22" s="13">
        <f>SUM(C22:G22)</f>
        <v/>
      </c>
      <c r="I22" s="27" t="n"/>
      <c r="J22" s="32" t="n"/>
      <c r="K22" s="12" t="n">
        <v>1</v>
      </c>
      <c r="L22" s="12" t="n"/>
      <c r="M22" s="14" t="n"/>
      <c r="O22" s="4" t="n"/>
      <c r="R22" s="104">
        <f>IFERROR(VLOOKUP(INT($I$6)*100+12,METEO_SADM!$A$1:$L$505,5,FALSE),"s/d")</f>
        <v/>
      </c>
      <c r="S22" s="104">
        <f>IFERROR(VLOOKUP(INT($I$6)*100+12,METEO_SADM!$A$1:$L$505,6,FALSE),"s/d")</f>
        <v/>
      </c>
      <c r="T22" s="104">
        <f>IFERROR(VLOOKUP(INT($I$6)*100+12,METEO_SADM!$A$1:$L$505,7,FALSE),"s/d")</f>
        <v/>
      </c>
      <c r="U22" s="104">
        <f>IFERROR(VLOOKUP(INT($I$6)*100+12,METEO_SADM!$A$1:$L$505,8,FALSE),"s/d")</f>
        <v/>
      </c>
      <c r="V22" s="105">
        <f>IFERROR(VLOOKUP(INT($I$6)*100+12,METEO_SADM!$A$1:$L$505,9,FALSE),"s/d")</f>
        <v/>
      </c>
    </row>
    <row r="23" ht="19.5" customFormat="1" customHeight="1" s="3">
      <c r="A23" s="1" t="n"/>
      <c r="B23" s="11" t="inlineStr">
        <is>
          <t>13 a 14</t>
        </is>
      </c>
      <c r="C23" s="12" t="n"/>
      <c r="D23" s="12" t="n"/>
      <c r="E23" s="12" t="n">
        <v>12</v>
      </c>
      <c r="F23" s="12" t="n">
        <v>1</v>
      </c>
      <c r="G23" s="12" t="n"/>
      <c r="H23" s="13">
        <f>SUM(C23:G23)</f>
        <v/>
      </c>
      <c r="I23" s="27" t="n"/>
      <c r="J23" s="32" t="n"/>
      <c r="K23" s="12" t="n">
        <v>1</v>
      </c>
      <c r="L23" s="12" t="n"/>
      <c r="M23" s="14" t="n"/>
      <c r="O23" s="4" t="n"/>
      <c r="R23" s="104">
        <f>IFERROR(VLOOKUP(INT($I$6)*100+13,METEO_SADM!$A$1:$L$505,5,FALSE),"s/d")</f>
        <v/>
      </c>
      <c r="S23" s="104">
        <f>IFERROR(VLOOKUP(INT($I$6)*100+13,METEO_SADM!$A$1:$L$505,6,FALSE),"s/d")</f>
        <v/>
      </c>
      <c r="T23" s="104">
        <f>IFERROR(VLOOKUP(INT($I$6)*100+13,METEO_SADM!$A$1:$L$505,7,FALSE),"s/d")</f>
        <v/>
      </c>
      <c r="U23" s="104">
        <f>IFERROR(VLOOKUP(INT($I$6)*100+13,METEO_SADM!$A$1:$L$505,8,FALSE),"s/d")</f>
        <v/>
      </c>
      <c r="V23" s="105">
        <f>IFERROR(VLOOKUP(INT($I$6)*100+13,METEO_SADM!$A$1:$L$505,9,FALSE),"s/d")</f>
        <v/>
      </c>
    </row>
    <row r="24" ht="19.5" customFormat="1" customHeight="1" s="3">
      <c r="A24" s="1" t="n"/>
      <c r="B24" s="11" t="inlineStr">
        <is>
          <t xml:space="preserve">14 a 15 </t>
        </is>
      </c>
      <c r="C24" s="12" t="n"/>
      <c r="D24" s="12" t="n"/>
      <c r="E24" s="12" t="n">
        <v>15</v>
      </c>
      <c r="F24" s="12" t="n"/>
      <c r="G24" s="12" t="n"/>
      <c r="H24" s="13">
        <f>SUM(C24:G24)</f>
        <v/>
      </c>
      <c r="I24" s="27" t="n"/>
      <c r="J24" s="32" t="n"/>
      <c r="K24" s="12" t="n">
        <v>1</v>
      </c>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21</v>
      </c>
      <c r="F25" s="12" t="n">
        <v>28</v>
      </c>
      <c r="G25" s="12" t="n"/>
      <c r="H25" s="13">
        <f>SUM(C25:G25)</f>
        <v/>
      </c>
      <c r="I25" s="27" t="n"/>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17</v>
      </c>
      <c r="F26" s="12" t="n">
        <v>2</v>
      </c>
      <c r="G26" s="12" t="n"/>
      <c r="H26" s="13">
        <f>SUM(C26:G26)</f>
        <v/>
      </c>
      <c r="I26" s="27" t="n"/>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22</v>
      </c>
      <c r="F27" s="12" t="n">
        <v>4</v>
      </c>
      <c r="G27" s="12" t="n"/>
      <c r="H27" s="13">
        <f>SUM(C27:G27)</f>
        <v/>
      </c>
      <c r="I27" s="27" t="n"/>
      <c r="J27" s="3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20</v>
      </c>
      <c r="F28" s="12" t="n">
        <v>4</v>
      </c>
      <c r="G28" s="12" t="n"/>
      <c r="H28" s="13">
        <f>SUM(C28:G28)</f>
        <v/>
      </c>
      <c r="I28" s="27" t="n"/>
      <c r="J28" s="32" t="n"/>
      <c r="K28" s="1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24</v>
      </c>
      <c r="F29" s="12" t="n"/>
      <c r="G29" s="12" t="n"/>
      <c r="H29" s="13">
        <f>SUM(C29:G29)</f>
        <v/>
      </c>
      <c r="I29" s="27" t="n"/>
      <c r="J29" s="3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17</v>
      </c>
      <c r="F30" s="12" t="n">
        <v>2</v>
      </c>
      <c r="G30" s="12" t="n"/>
      <c r="H30" s="13">
        <f>SUM(C30:G30)</f>
        <v/>
      </c>
      <c r="I30" s="27" t="n"/>
      <c r="J30" s="32" t="n"/>
      <c r="K30" s="1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2</v>
      </c>
      <c r="F31" s="12" t="n">
        <v>2</v>
      </c>
      <c r="G31" s="12" t="n"/>
      <c r="H31" s="13">
        <f>SUM(C31:G31)</f>
        <v/>
      </c>
      <c r="I31" s="27" t="n"/>
      <c r="J31" s="32" t="n"/>
      <c r="K31" s="12" t="n">
        <v>1</v>
      </c>
      <c r="L31" s="12" t="n"/>
      <c r="M31" s="14" t="n"/>
      <c r="O31" s="4" t="n"/>
      <c r="R31" s="106">
        <f>IFERROR(VLOOKUP(INT($I$6)*100+21,METEO_SADM!$A$1:$L$505,5,FALSE),"s/d")</f>
        <v/>
      </c>
      <c r="S31" s="106">
        <f>IFERROR(VLOOKUP(INT($I$6)*100+21,METEO_SADM!$A$1:$L$505,6,FALSE),"s/d")</f>
        <v/>
      </c>
      <c r="T31" s="106">
        <f>IFERROR(VLOOKUP(INT($I$6)*100+21,METEO_SADM!$A$1:$L$505,7,FALSE),"s/d")</f>
        <v/>
      </c>
      <c r="U31" s="106">
        <f>IFERROR(VLOOKUP(INT($I$6)*100+21,METEO_SADM!$A$1:$L$505,8,FALSE),"s/d")</f>
        <v/>
      </c>
      <c r="V31" s="107">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6">
        <f>IFERROR(VLOOKUP(INT($I$6)*100+22,METEO_SADM!$A$1:$L$505,5,FALSE),"s/d")</f>
        <v/>
      </c>
      <c r="S32" s="106">
        <f>IFERROR(VLOOKUP(INT($I$6)*100+22,METEO_SADM!$A$1:$L$505,6,FALSE),"s/d")</f>
        <v/>
      </c>
      <c r="T32" s="106">
        <f>IFERROR(VLOOKUP(INT($I$6)*100+22,METEO_SADM!$A$1:$L$505,7,FALSE),"s/d")</f>
        <v/>
      </c>
      <c r="U32" s="106">
        <f>IFERROR(VLOOKUP(INT($I$6)*100+22,METEO_SADM!$A$1:$L$505,8,FALSE),"s/d")</f>
        <v/>
      </c>
      <c r="V32" s="107">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3:V44"/>
  <sheetViews>
    <sheetView showGridLines="0" topLeftCell="A10" zoomScale="112" zoomScaleNormal="112" workbookViewId="0">
      <selection activeCell="E32" sqref="E32"/>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46248</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6">
        <f>IFERROR(VLOOKUP(INT($I$6)*100+7,METEO_SADM!$A$1:$L$505,5,FALSE),"s/d")</f>
        <v/>
      </c>
      <c r="S17" s="106">
        <f>IFERROR(VLOOKUP(INT($I$6)*100+7,METEO_SADM!$A$1:$L$505,6,FALSE),"s/d")</f>
        <v/>
      </c>
      <c r="T17" s="106">
        <f>IFERROR(VLOOKUP(INT($I$6)*100+7,METEO_SADM!$A$1:$L$505,7,FALSE),"s/d")</f>
        <v/>
      </c>
      <c r="U17" s="106">
        <f>IFERROR(VLOOKUP(INT($I$6)*100+7,METEO_SADM!$A$1:$L$505,8,FALSE),"s/d")</f>
        <v/>
      </c>
      <c r="V17" s="107">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inlineStr">
        <is>
          <t>AD IMC</t>
        </is>
      </c>
      <c r="F21" s="12" t="n"/>
      <c r="G21" s="12" t="n"/>
      <c r="H21" s="13">
        <f>SUM(C21:G21)</f>
        <v/>
      </c>
      <c r="I21" s="27" t="n"/>
      <c r="J21" s="32" t="n"/>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inlineStr">
        <is>
          <t>AD IMC</t>
        </is>
      </c>
      <c r="F22" s="12" t="n"/>
      <c r="G22" s="12" t="n"/>
      <c r="H22" s="13">
        <f>SUM(C22:G22)</f>
        <v/>
      </c>
      <c r="I22" s="27" t="n"/>
      <c r="J22" s="32" t="n"/>
      <c r="K22" s="12" t="n"/>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inlineStr">
        <is>
          <t>AD IMC</t>
        </is>
      </c>
      <c r="F23" s="12" t="n"/>
      <c r="G23" s="12" t="n"/>
      <c r="H23" s="13">
        <f>SUM(C23:G23)</f>
        <v/>
      </c>
      <c r="I23" s="27" t="n"/>
      <c r="J23" s="32" t="n"/>
      <c r="K23" s="12" t="n"/>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inlineStr">
        <is>
          <t>AD IMC</t>
        </is>
      </c>
      <c r="F24" s="12" t="n"/>
      <c r="G24" s="12" t="n"/>
      <c r="H24" s="13">
        <f>SUM(C24:G24)</f>
        <v/>
      </c>
      <c r="I24" s="27" t="n"/>
      <c r="J24" s="32" t="n"/>
      <c r="K24" s="12" t="n"/>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c r="D25" s="12" t="n"/>
      <c r="E25" s="12" t="inlineStr">
        <is>
          <t>AD IMC</t>
        </is>
      </c>
      <c r="F25" s="12" t="n"/>
      <c r="G25" s="12" t="n"/>
      <c r="H25" s="13">
        <f>SUM(C25:G25)</f>
        <v/>
      </c>
      <c r="I25" s="27" t="n"/>
      <c r="J25" s="32" t="n"/>
      <c r="K25" s="12" t="n"/>
      <c r="L25" s="12" t="n"/>
      <c r="M25" s="14" t="n"/>
      <c r="O25" s="4" t="n"/>
      <c r="R25" s="106">
        <f>IFERROR(VLOOKUP(INT($I$6)*100+15,METEO_SADM!$A$1:$L$505,5,FALSE),"s/d")</f>
        <v/>
      </c>
      <c r="S25" s="106">
        <f>IFERROR(VLOOKUP(INT($I$6)*100+15,METEO_SADM!$A$1:$L$505,6,FALSE),"s/d")</f>
        <v/>
      </c>
      <c r="T25" s="106">
        <f>IFERROR(VLOOKUP(INT($I$6)*100+15,METEO_SADM!$A$1:$L$505,7,FALSE),"s/d")</f>
        <v/>
      </c>
      <c r="U25" s="106">
        <f>IFERROR(VLOOKUP(INT($I$6)*100+15,METEO_SADM!$A$1:$L$505,8,FALSE),"s/d")</f>
        <v/>
      </c>
      <c r="V25" s="107">
        <f>IFERROR(VLOOKUP(INT($I$6)*100+15,METEO_SADM!$A$1:$L$505,9,FALSE),"s/d")</f>
        <v/>
      </c>
    </row>
    <row r="26" ht="19.5" customFormat="1" customHeight="1" s="3">
      <c r="A26" s="1" t="n"/>
      <c r="B26" s="11" t="inlineStr">
        <is>
          <t>16 a 17</t>
        </is>
      </c>
      <c r="C26" s="12" t="n"/>
      <c r="D26" s="12" t="n"/>
      <c r="E26" s="12" t="inlineStr">
        <is>
          <t>AD IMC</t>
        </is>
      </c>
      <c r="F26" s="12" t="n"/>
      <c r="G26" s="12" t="n"/>
      <c r="H26" s="13">
        <f>SUM(C26:G26)</f>
        <v/>
      </c>
      <c r="I26" s="27" t="n"/>
      <c r="J26" s="32" t="n"/>
      <c r="K26" s="12" t="n"/>
      <c r="L26" s="12" t="n"/>
      <c r="M26" s="14" t="n"/>
      <c r="O26" s="4" t="n"/>
      <c r="R26" s="106">
        <f>IFERROR(VLOOKUP(INT($I$6)*100+16,METEO_SADM!$A$1:$L$505,5,FALSE),"s/d")</f>
        <v/>
      </c>
      <c r="S26" s="106">
        <f>IFERROR(VLOOKUP(INT($I$6)*100+16,METEO_SADM!$A$1:$L$505,6,FALSE),"s/d")</f>
        <v/>
      </c>
      <c r="T26" s="106">
        <f>IFERROR(VLOOKUP(INT($I$6)*100+16,METEO_SADM!$A$1:$L$505,7,FALSE),"s/d")</f>
        <v/>
      </c>
      <c r="U26" s="106">
        <f>IFERROR(VLOOKUP(INT($I$6)*100+16,METEO_SADM!$A$1:$L$505,8,FALSE),"s/d")</f>
        <v/>
      </c>
      <c r="V26" s="107">
        <f>IFERROR(VLOOKUP(INT($I$6)*100+16,METEO_SADM!$A$1:$L$505,9,FALSE),"s/d")</f>
        <v/>
      </c>
    </row>
    <row r="27" ht="19.5" customFormat="1" customHeight="1" s="3">
      <c r="A27" s="1" t="n"/>
      <c r="B27" s="11" t="inlineStr">
        <is>
          <t>17 a 18</t>
        </is>
      </c>
      <c r="C27" s="12" t="n"/>
      <c r="D27" s="12" t="n"/>
      <c r="E27" s="12" t="inlineStr">
        <is>
          <t>AD IMC</t>
        </is>
      </c>
      <c r="F27" s="12" t="n"/>
      <c r="G27" s="12" t="n"/>
      <c r="H27" s="13">
        <f>SUM(C27:G27)</f>
        <v/>
      </c>
      <c r="I27" s="27" t="n"/>
      <c r="J27" s="32" t="n"/>
      <c r="K27" s="12" t="n"/>
      <c r="L27" s="12" t="n"/>
      <c r="M27" s="14" t="n"/>
      <c r="O27" s="4" t="n"/>
      <c r="R27" s="106">
        <f>IFERROR(VLOOKUP(INT($I$6)*100+17,METEO_SADM!$A$1:$L$505,5,FALSE),"s/d")</f>
        <v/>
      </c>
      <c r="S27" s="106">
        <f>IFERROR(VLOOKUP(INT($I$6)*100+17,METEO_SADM!$A$1:$L$505,6,FALSE),"s/d")</f>
        <v/>
      </c>
      <c r="T27" s="106">
        <f>IFERROR(VLOOKUP(INT($I$6)*100+17,METEO_SADM!$A$1:$L$505,7,FALSE),"s/d")</f>
        <v/>
      </c>
      <c r="U27" s="106">
        <f>IFERROR(VLOOKUP(INT($I$6)*100+17,METEO_SADM!$A$1:$L$505,8,FALSE),"s/d")</f>
        <v/>
      </c>
      <c r="V27" s="107">
        <f>IFERROR(VLOOKUP(INT($I$6)*100+17,METEO_SADM!$A$1:$L$505,9,FALSE),"s/d")</f>
        <v/>
      </c>
    </row>
    <row r="28" ht="19.5" customFormat="1" customHeight="1" s="3">
      <c r="A28" s="1" t="n"/>
      <c r="B28" s="11" t="inlineStr">
        <is>
          <t>18 a 19</t>
        </is>
      </c>
      <c r="C28" s="12" t="n"/>
      <c r="D28" s="12" t="n"/>
      <c r="E28" s="12" t="inlineStr">
        <is>
          <t>AD IMC</t>
        </is>
      </c>
      <c r="F28" s="12" t="n"/>
      <c r="G28" s="12" t="n"/>
      <c r="H28" s="13">
        <f>SUM(C28:G28)</f>
        <v/>
      </c>
      <c r="I28" s="27" t="n"/>
      <c r="J28" s="32" t="n"/>
      <c r="K28" s="12" t="n"/>
      <c r="L28" s="12" t="n"/>
      <c r="M28" s="14" t="n"/>
      <c r="O28" s="4" t="n"/>
      <c r="R28" s="106">
        <f>IFERROR(VLOOKUP(INT($I$6)*100+18,METEO_SADM!$A$1:$L$505,5,FALSE),"s/d")</f>
        <v/>
      </c>
      <c r="S28" s="106">
        <f>IFERROR(VLOOKUP(INT($I$6)*100+18,METEO_SADM!$A$1:$L$505,6,FALSE),"s/d")</f>
        <v/>
      </c>
      <c r="T28" s="106">
        <f>IFERROR(VLOOKUP(INT($I$6)*100+18,METEO_SADM!$A$1:$L$505,7,FALSE),"s/d")</f>
        <v/>
      </c>
      <c r="U28" s="106">
        <f>IFERROR(VLOOKUP(INT($I$6)*100+18,METEO_SADM!$A$1:$L$505,8,FALSE),"s/d")</f>
        <v/>
      </c>
      <c r="V28" s="107">
        <f>IFERROR(VLOOKUP(INT($I$6)*100+18,METEO_SADM!$A$1:$L$505,9,FALSE),"s/d")</f>
        <v/>
      </c>
    </row>
    <row r="29" ht="19.5" customFormat="1" customHeight="1" s="3">
      <c r="A29" s="1" t="n"/>
      <c r="B29" s="11" t="inlineStr">
        <is>
          <t xml:space="preserve">19 a 20 </t>
        </is>
      </c>
      <c r="C29" s="12" t="n"/>
      <c r="D29" s="12" t="n"/>
      <c r="E29" s="12" t="inlineStr">
        <is>
          <t>AD IMC</t>
        </is>
      </c>
      <c r="F29" s="12" t="n"/>
      <c r="G29" s="12" t="n"/>
      <c r="H29" s="13">
        <f>SUM(C29:G29)</f>
        <v/>
      </c>
      <c r="I29" s="27" t="n"/>
      <c r="J29" s="32" t="n"/>
      <c r="K29" s="12" t="n"/>
      <c r="L29" s="12" t="n"/>
      <c r="M29" s="14" t="n"/>
      <c r="O29" s="4" t="n"/>
      <c r="R29" s="106">
        <f>IFERROR(VLOOKUP(INT($I$6)*100+19,METEO_SADM!$A$1:$L$505,5,FALSE),"s/d")</f>
        <v/>
      </c>
      <c r="S29" s="106">
        <f>IFERROR(VLOOKUP(INT($I$6)*100+19,METEO_SADM!$A$1:$L$505,6,FALSE),"s/d")</f>
        <v/>
      </c>
      <c r="T29" s="106">
        <f>IFERROR(VLOOKUP(INT($I$6)*100+19,METEO_SADM!$A$1:$L$505,7,FALSE),"s/d")</f>
        <v/>
      </c>
      <c r="U29" s="106">
        <f>IFERROR(VLOOKUP(INT($I$6)*100+19,METEO_SADM!$A$1:$L$505,8,FALSE),"s/d")</f>
        <v/>
      </c>
      <c r="V29" s="107">
        <f>IFERROR(VLOOKUP(INT($I$6)*100+19,METEO_SADM!$A$1:$L$505,9,FALSE),"s/d")</f>
        <v/>
      </c>
    </row>
    <row r="30" ht="19.5" customFormat="1" customHeight="1" s="3">
      <c r="A30" s="1" t="n"/>
      <c r="B30" s="11" t="inlineStr">
        <is>
          <t>20 a 21</t>
        </is>
      </c>
      <c r="C30" s="12" t="n"/>
      <c r="D30" s="12" t="n"/>
      <c r="E30" s="12" t="inlineStr">
        <is>
          <t>AD IMC</t>
        </is>
      </c>
      <c r="F30" s="12" t="n"/>
      <c r="G30" s="12" t="n"/>
      <c r="H30" s="13">
        <f>SUM(C30:G30)</f>
        <v/>
      </c>
      <c r="I30" s="27" t="n"/>
      <c r="J30" s="32" t="n"/>
      <c r="K30" s="12" t="n"/>
      <c r="L30" s="12" t="n"/>
      <c r="M30" s="14" t="n"/>
      <c r="O30" s="4" t="n"/>
      <c r="R30" s="106">
        <f>IFERROR(VLOOKUP(INT($I$6)*100+20,METEO_SADM!$A$1:$L$505,5,FALSE),"s/d")</f>
        <v/>
      </c>
      <c r="S30" s="106">
        <f>IFERROR(VLOOKUP(INT($I$6)*100+20,METEO_SADM!$A$1:$L$505,6,FALSE),"s/d")</f>
        <v/>
      </c>
      <c r="T30" s="106">
        <f>IFERROR(VLOOKUP(INT($I$6)*100+20,METEO_SADM!$A$1:$L$505,7,FALSE),"s/d")</f>
        <v/>
      </c>
      <c r="U30" s="106">
        <f>IFERROR(VLOOKUP(INT($I$6)*100+20,METEO_SADM!$A$1:$L$505,8,FALSE),"s/d")</f>
        <v/>
      </c>
      <c r="V30" s="107">
        <f>IFERROR(VLOOKUP(INT($I$6)*100+20,METEO_SADM!$A$1:$L$505,9,FALSE),"s/d")</f>
        <v/>
      </c>
    </row>
    <row r="31" ht="19.5" customFormat="1" customHeight="1" s="3">
      <c r="A31" s="1" t="n"/>
      <c r="B31" s="11" t="inlineStr">
        <is>
          <t xml:space="preserve">21 a 22 </t>
        </is>
      </c>
      <c r="C31" s="12" t="n"/>
      <c r="D31" s="12" t="n"/>
      <c r="E31" s="12" t="inlineStr">
        <is>
          <t>AD IMC</t>
        </is>
      </c>
      <c r="F31" s="12" t="n"/>
      <c r="G31" s="12" t="n"/>
      <c r="H31" s="13">
        <f>SUM(C31:G31)</f>
        <v/>
      </c>
      <c r="I31" s="27" t="n"/>
      <c r="J31" s="32" t="n"/>
      <c r="K31" s="12" t="n"/>
      <c r="L31" s="12" t="n"/>
      <c r="M31" s="14" t="n"/>
      <c r="O31" s="4" t="n"/>
      <c r="R31" s="106">
        <f>IFERROR(VLOOKUP(INT($I$6)*100+21,METEO_SADM!$A$1:$L$505,5,FALSE),"s/d")</f>
        <v/>
      </c>
      <c r="S31" s="106">
        <f>IFERROR(VLOOKUP(INT($I$6)*100+21,METEO_SADM!$A$1:$L$505,6,FALSE),"s/d")</f>
        <v/>
      </c>
      <c r="T31" s="106">
        <f>IFERROR(VLOOKUP(INT($I$6)*100+21,METEO_SADM!$A$1:$L$505,7,FALSE),"s/d")</f>
        <v/>
      </c>
      <c r="U31" s="106">
        <f>IFERROR(VLOOKUP(INT($I$6)*100+21,METEO_SADM!$A$1:$L$505,8,FALSE),"s/d")</f>
        <v/>
      </c>
      <c r="V31" s="107">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6">
        <f>IFERROR(VLOOKUP(INT($I$6)*100+22,METEO_SADM!$A$1:$L$505,5,FALSE),"s/d")</f>
        <v/>
      </c>
      <c r="S32" s="106">
        <f>IFERROR(VLOOKUP(INT($I$6)*100+22,METEO_SADM!$A$1:$L$505,6,FALSE),"s/d")</f>
        <v/>
      </c>
      <c r="T32" s="106">
        <f>IFERROR(VLOOKUP(INT($I$6)*100+22,METEO_SADM!$A$1:$L$505,7,FALSE),"s/d")</f>
        <v/>
      </c>
      <c r="U32" s="106">
        <f>IFERROR(VLOOKUP(INT($I$6)*100+22,METEO_SADM!$A$1:$L$505,8,FALSE),"s/d")</f>
        <v/>
      </c>
      <c r="V32" s="107">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3:V44"/>
  <sheetViews>
    <sheetView showGridLines="0" topLeftCell="A4" zoomScale="98" zoomScaleNormal="98" workbookViewId="0">
      <selection activeCell="E31" sqref="E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46249</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6">
        <f>IFERROR(VLOOKUP(INT($I$6)*100+7,METEO_SADM!$A$1:$L$505,5,FALSE),"s/d")</f>
        <v/>
      </c>
      <c r="S17" s="106">
        <f>IFERROR(VLOOKUP(INT($I$6)*100+7,METEO_SADM!$A$1:$L$505,6,FALSE),"s/d")</f>
        <v/>
      </c>
      <c r="T17" s="106">
        <f>IFERROR(VLOOKUP(INT($I$6)*100+7,METEO_SADM!$A$1:$L$505,7,FALSE),"s/d")</f>
        <v/>
      </c>
      <c r="U17" s="106">
        <f>IFERROR(VLOOKUP(INT($I$6)*100+7,METEO_SADM!$A$1:$L$505,8,FALSE),"s/d")</f>
        <v/>
      </c>
      <c r="V17" s="107">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n">
        <v>1</v>
      </c>
      <c r="F21" s="12" t="n"/>
      <c r="G21" s="12" t="n"/>
      <c r="H21" s="13">
        <f>SUM(C21:G21)</f>
        <v/>
      </c>
      <c r="I21" s="27" t="n"/>
      <c r="J21" s="32" t="n">
        <v>1</v>
      </c>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inlineStr">
        <is>
          <t>IMC</t>
        </is>
      </c>
      <c r="F22" s="12" t="n"/>
      <c r="G22" s="12" t="n"/>
      <c r="H22" s="13">
        <f>SUM(C22:G22)</f>
        <v/>
      </c>
      <c r="I22" s="27" t="n"/>
      <c r="J22" s="32" t="n"/>
      <c r="K22" s="12" t="n"/>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inlineStr">
        <is>
          <t>IMC</t>
        </is>
      </c>
      <c r="F23" s="12" t="n"/>
      <c r="G23" s="12" t="n"/>
      <c r="H23" s="13">
        <f>SUM(C23:G23)</f>
        <v/>
      </c>
      <c r="I23" s="27" t="n"/>
      <c r="J23" s="32" t="n"/>
      <c r="K23" s="12" t="n"/>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inlineStr">
        <is>
          <t>IMC</t>
        </is>
      </c>
      <c r="F24" s="12" t="n"/>
      <c r="G24" s="12" t="n"/>
      <c r="H24" s="13">
        <f>SUM(C24:G24)</f>
        <v/>
      </c>
      <c r="I24" s="27" t="n"/>
      <c r="J24" s="32" t="n"/>
      <c r="K24" s="12" t="n"/>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c r="D25" s="12" t="n"/>
      <c r="E25" s="12" t="inlineStr">
        <is>
          <t>IMC</t>
        </is>
      </c>
      <c r="F25" s="12" t="n"/>
      <c r="G25" s="12" t="n"/>
      <c r="H25" s="13">
        <f>SUM(C25:G25)</f>
        <v/>
      </c>
      <c r="I25" s="27" t="n"/>
      <c r="J25" s="32" t="n"/>
      <c r="K25" s="12" t="n"/>
      <c r="L25" s="12" t="n"/>
      <c r="M25" s="14" t="n"/>
      <c r="O25" s="4" t="n"/>
      <c r="R25" s="106">
        <f>IFERROR(VLOOKUP(INT($I$6)*100+15,METEO_SADM!$A$1:$L$505,5,FALSE),"s/d")</f>
        <v/>
      </c>
      <c r="S25" s="106">
        <f>IFERROR(VLOOKUP(INT($I$6)*100+15,METEO_SADM!$A$1:$L$505,6,FALSE),"s/d")</f>
        <v/>
      </c>
      <c r="T25" s="106">
        <f>IFERROR(VLOOKUP(INT($I$6)*100+15,METEO_SADM!$A$1:$L$505,7,FALSE),"s/d")</f>
        <v/>
      </c>
      <c r="U25" s="106">
        <f>IFERROR(VLOOKUP(INT($I$6)*100+15,METEO_SADM!$A$1:$L$505,8,FALSE),"s/d")</f>
        <v/>
      </c>
      <c r="V25" s="107">
        <f>IFERROR(VLOOKUP(INT($I$6)*100+15,METEO_SADM!$A$1:$L$505,9,FALSE),"s/d")</f>
        <v/>
      </c>
    </row>
    <row r="26" ht="19.5" customFormat="1" customHeight="1" s="3">
      <c r="A26" s="1" t="n"/>
      <c r="B26" s="11" t="inlineStr">
        <is>
          <t>16 a 17</t>
        </is>
      </c>
      <c r="C26" s="12" t="n"/>
      <c r="D26" s="12" t="n"/>
      <c r="E26" s="12" t="n">
        <v>3</v>
      </c>
      <c r="F26" s="12" t="n"/>
      <c r="G26" s="12" t="n"/>
      <c r="H26" s="13">
        <f>SUM(C26:G26)</f>
        <v/>
      </c>
      <c r="I26" s="27" t="n"/>
      <c r="J26" s="32" t="n">
        <v>1</v>
      </c>
      <c r="K26" s="12" t="n"/>
      <c r="L26" s="12" t="n"/>
      <c r="M26" s="14" t="n"/>
      <c r="O26" s="4" t="n"/>
      <c r="R26" s="106">
        <f>IFERROR(VLOOKUP(INT($I$6)*100+16,METEO_SADM!$A$1:$L$505,5,FALSE),"s/d")</f>
        <v/>
      </c>
      <c r="S26" s="106">
        <f>IFERROR(VLOOKUP(INT($I$6)*100+16,METEO_SADM!$A$1:$L$505,6,FALSE),"s/d")</f>
        <v/>
      </c>
      <c r="T26" s="106">
        <f>IFERROR(VLOOKUP(INT($I$6)*100+16,METEO_SADM!$A$1:$L$505,7,FALSE),"s/d")</f>
        <v/>
      </c>
      <c r="U26" s="106">
        <f>IFERROR(VLOOKUP(INT($I$6)*100+16,METEO_SADM!$A$1:$L$505,8,FALSE),"s/d")</f>
        <v/>
      </c>
      <c r="V26" s="107">
        <f>IFERROR(VLOOKUP(INT($I$6)*100+16,METEO_SADM!$A$1:$L$505,9,FALSE),"s/d")</f>
        <v/>
      </c>
    </row>
    <row r="27" ht="19.5" customFormat="1" customHeight="1" s="3">
      <c r="A27" s="1" t="n"/>
      <c r="B27" s="11" t="inlineStr">
        <is>
          <t>17 a 18</t>
        </is>
      </c>
      <c r="C27" s="12" t="n"/>
      <c r="D27" s="12" t="n"/>
      <c r="E27" s="12" t="n">
        <v>1</v>
      </c>
      <c r="F27" s="12" t="n"/>
      <c r="G27" s="12" t="n"/>
      <c r="H27" s="13">
        <f>SUM(C27:G27)</f>
        <v/>
      </c>
      <c r="I27" s="27" t="n"/>
      <c r="J27" s="32" t="n">
        <v>1</v>
      </c>
      <c r="K27" s="12" t="n"/>
      <c r="L27" s="12" t="n"/>
      <c r="M27" s="14" t="n"/>
      <c r="O27" s="4" t="n"/>
      <c r="R27" s="106">
        <f>IFERROR(VLOOKUP(INT($I$6)*100+17,METEO_SADM!$A$1:$L$505,5,FALSE),"s/d")</f>
        <v/>
      </c>
      <c r="S27" s="106">
        <f>IFERROR(VLOOKUP(INT($I$6)*100+17,METEO_SADM!$A$1:$L$505,6,FALSE),"s/d")</f>
        <v/>
      </c>
      <c r="T27" s="106">
        <f>IFERROR(VLOOKUP(INT($I$6)*100+17,METEO_SADM!$A$1:$L$505,7,FALSE),"s/d")</f>
        <v/>
      </c>
      <c r="U27" s="106">
        <f>IFERROR(VLOOKUP(INT($I$6)*100+17,METEO_SADM!$A$1:$L$505,8,FALSE),"s/d")</f>
        <v/>
      </c>
      <c r="V27" s="107">
        <f>IFERROR(VLOOKUP(INT($I$6)*100+17,METEO_SADM!$A$1:$L$505,9,FALSE),"s/d")</f>
        <v/>
      </c>
    </row>
    <row r="28" ht="19.5" customFormat="1" customHeight="1" s="3">
      <c r="A28" s="1" t="n"/>
      <c r="B28" s="11" t="inlineStr">
        <is>
          <t>18 a 19</t>
        </is>
      </c>
      <c r="C28" s="12" t="n"/>
      <c r="D28" s="12" t="n"/>
      <c r="E28" s="12" t="inlineStr">
        <is>
          <t>IMC</t>
        </is>
      </c>
      <c r="F28" s="12" t="n"/>
      <c r="G28" s="12" t="n"/>
      <c r="H28" s="13">
        <f>SUM(C28:G28)</f>
        <v/>
      </c>
      <c r="I28" s="27" t="n"/>
      <c r="J28" s="32" t="n"/>
      <c r="K28" s="12" t="n"/>
      <c r="L28" s="12" t="n"/>
      <c r="M28" s="14" t="n"/>
      <c r="O28" s="4" t="n"/>
      <c r="R28" s="106">
        <f>IFERROR(VLOOKUP(INT($I$6)*100+18,METEO_SADM!$A$1:$L$505,5,FALSE),"s/d")</f>
        <v/>
      </c>
      <c r="S28" s="106">
        <f>IFERROR(VLOOKUP(INT($I$6)*100+18,METEO_SADM!$A$1:$L$505,6,FALSE),"s/d")</f>
        <v/>
      </c>
      <c r="T28" s="106">
        <f>IFERROR(VLOOKUP(INT($I$6)*100+18,METEO_SADM!$A$1:$L$505,7,FALSE),"s/d")</f>
        <v/>
      </c>
      <c r="U28" s="106">
        <f>IFERROR(VLOOKUP(INT($I$6)*100+18,METEO_SADM!$A$1:$L$505,8,FALSE),"s/d")</f>
        <v/>
      </c>
      <c r="V28" s="107">
        <f>IFERROR(VLOOKUP(INT($I$6)*100+18,METEO_SADM!$A$1:$L$505,9,FALSE),"s/d")</f>
        <v/>
      </c>
    </row>
    <row r="29" ht="19.5" customFormat="1" customHeight="1" s="3">
      <c r="A29" s="1" t="n"/>
      <c r="B29" s="11" t="inlineStr">
        <is>
          <t xml:space="preserve">19 a 20 </t>
        </is>
      </c>
      <c r="C29" s="12" t="n"/>
      <c r="D29" s="12" t="n"/>
      <c r="E29" s="12" t="inlineStr">
        <is>
          <t>IMC</t>
        </is>
      </c>
      <c r="F29" s="12" t="n"/>
      <c r="G29" s="12" t="n"/>
      <c r="H29" s="13">
        <f>SUM(C29:G29)</f>
        <v/>
      </c>
      <c r="I29" s="27" t="n"/>
      <c r="J29" s="32" t="n"/>
      <c r="K29" s="12" t="n"/>
      <c r="L29" s="12" t="n"/>
      <c r="M29" s="14" t="n"/>
      <c r="O29" s="4" t="n"/>
      <c r="R29" s="106">
        <f>IFERROR(VLOOKUP(INT($I$6)*100+19,METEO_SADM!$A$1:$L$505,5,FALSE),"s/d")</f>
        <v/>
      </c>
      <c r="S29" s="106">
        <f>IFERROR(VLOOKUP(INT($I$6)*100+19,METEO_SADM!$A$1:$L$505,6,FALSE),"s/d")</f>
        <v/>
      </c>
      <c r="T29" s="106">
        <f>IFERROR(VLOOKUP(INT($I$6)*100+19,METEO_SADM!$A$1:$L$505,7,FALSE),"s/d")</f>
        <v/>
      </c>
      <c r="U29" s="106">
        <f>IFERROR(VLOOKUP(INT($I$6)*100+19,METEO_SADM!$A$1:$L$505,8,FALSE),"s/d")</f>
        <v/>
      </c>
      <c r="V29" s="107">
        <f>IFERROR(VLOOKUP(INT($I$6)*100+19,METEO_SADM!$A$1:$L$505,9,FALSE),"s/d")</f>
        <v/>
      </c>
    </row>
    <row r="30" ht="19.5" customFormat="1" customHeight="1" s="3">
      <c r="A30" s="1" t="n"/>
      <c r="B30" s="11" t="inlineStr">
        <is>
          <t>20 a 21</t>
        </is>
      </c>
      <c r="C30" s="12" t="n"/>
      <c r="D30" s="12" t="n"/>
      <c r="E30" s="12" t="inlineStr">
        <is>
          <t>IMC</t>
        </is>
      </c>
      <c r="F30" s="12" t="n"/>
      <c r="G30" s="12" t="n"/>
      <c r="H30" s="13">
        <f>SUM(C30:G30)</f>
        <v/>
      </c>
      <c r="I30" s="27" t="n"/>
      <c r="J30" s="32" t="n"/>
      <c r="K30" s="12" t="n"/>
      <c r="L30" s="12" t="n"/>
      <c r="M30" s="14" t="n"/>
      <c r="O30" s="4" t="n"/>
      <c r="R30" s="106">
        <f>IFERROR(VLOOKUP(INT($I$6)*100+20,METEO_SADM!$A$1:$L$505,5,FALSE),"s/d")</f>
        <v/>
      </c>
      <c r="S30" s="106">
        <f>IFERROR(VLOOKUP(INT($I$6)*100+20,METEO_SADM!$A$1:$L$505,6,FALSE),"s/d")</f>
        <v/>
      </c>
      <c r="T30" s="106">
        <f>IFERROR(VLOOKUP(INT($I$6)*100+20,METEO_SADM!$A$1:$L$505,7,FALSE),"s/d")</f>
        <v/>
      </c>
      <c r="U30" s="106">
        <f>IFERROR(VLOOKUP(INT($I$6)*100+20,METEO_SADM!$A$1:$L$505,8,FALSE),"s/d")</f>
        <v/>
      </c>
      <c r="V30" s="107">
        <f>IFERROR(VLOOKUP(INT($I$6)*100+20,METEO_SADM!$A$1:$L$505,9,FALSE),"s/d")</f>
        <v/>
      </c>
    </row>
    <row r="31" ht="19.5" customFormat="1" customHeight="1" s="3">
      <c r="A31" s="1" t="n"/>
      <c r="B31" s="11" t="inlineStr">
        <is>
          <t xml:space="preserve">21 a 22 </t>
        </is>
      </c>
      <c r="C31" s="12" t="n"/>
      <c r="D31" s="12" t="n"/>
      <c r="E31" s="12" t="inlineStr">
        <is>
          <t>IMC</t>
        </is>
      </c>
      <c r="F31" s="47" t="n"/>
      <c r="G31" s="12" t="n"/>
      <c r="H31" s="13">
        <f>SUM(C31:G31)</f>
        <v/>
      </c>
      <c r="I31" s="27" t="n"/>
      <c r="J31" s="32" t="n"/>
      <c r="K31" s="12" t="n"/>
      <c r="L31" s="12" t="n"/>
      <c r="M31" s="14" t="n"/>
      <c r="O31" s="4" t="n"/>
      <c r="R31" s="106">
        <f>IFERROR(VLOOKUP(INT($I$6)*100+21,METEO_SADM!$A$1:$L$505,5,FALSE),"s/d")</f>
        <v/>
      </c>
      <c r="S31" s="106">
        <f>IFERROR(VLOOKUP(INT($I$6)*100+21,METEO_SADM!$A$1:$L$505,6,FALSE),"s/d")</f>
        <v/>
      </c>
      <c r="T31" s="106">
        <f>IFERROR(VLOOKUP(INT($I$6)*100+21,METEO_SADM!$A$1:$L$505,7,FALSE),"s/d")</f>
        <v/>
      </c>
      <c r="U31" s="106">
        <f>IFERROR(VLOOKUP(INT($I$6)*100+21,METEO_SADM!$A$1:$L$505,8,FALSE),"s/d")</f>
        <v/>
      </c>
      <c r="V31" s="107">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6">
        <f>IFERROR(VLOOKUP(INT($I$6)*100+22,METEO_SADM!$A$1:$L$505,5,FALSE),"s/d")</f>
        <v/>
      </c>
      <c r="S32" s="106">
        <f>IFERROR(VLOOKUP(INT($I$6)*100+22,METEO_SADM!$A$1:$L$505,6,FALSE),"s/d")</f>
        <v/>
      </c>
      <c r="T32" s="106">
        <f>IFERROR(VLOOKUP(INT($I$6)*100+22,METEO_SADM!$A$1:$L$505,7,FALSE),"s/d")</f>
        <v/>
      </c>
      <c r="U32" s="106">
        <f>IFERROR(VLOOKUP(INT($I$6)*100+22,METEO_SADM!$A$1:$L$505,8,FALSE),"s/d")</f>
        <v/>
      </c>
      <c r="V32" s="107">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6">
        <f>IFERROR(VLOOKUP(INT($I$6)*100+23,METEO_SADM!$A$1:$L$505,5,FALSE),"s/d")</f>
        <v/>
      </c>
      <c r="S33" s="106">
        <f>IFERROR(VLOOKUP(INT($I$6)*100+23,METEO_SADM!$A$1:$L$505,6,FALSE),"s/d")</f>
        <v/>
      </c>
      <c r="T33" s="106">
        <f>IFERROR(VLOOKUP(INT($I$6)*100+23,METEO_SADM!$A$1:$L$505,7,FALSE),"s/d")</f>
        <v/>
      </c>
      <c r="U33" s="106">
        <f>IFERROR(VLOOKUP(INT($I$6)*100+23,METEO_SADM!$A$1:$L$505,8,FALSE),"s/d")</f>
        <v/>
      </c>
      <c r="V33" s="107">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3:V44"/>
  <sheetViews>
    <sheetView showGridLines="0" topLeftCell="A13" zoomScaleNormal="100" workbookViewId="0">
      <selection activeCell="K31" sqref="K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46250</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6">
        <f>IFERROR(VLOOKUP(INT($I$6)*100+0,METEO_SADM!$A$1:$L$505,5,FALSE),"s/d")</f>
        <v/>
      </c>
      <c r="S10" s="106">
        <f>IFERROR(VLOOKUP(INT($I$6)*100+0,METEO_SADM!$A$1:$L$505,6,FALSE),"s/d")</f>
        <v/>
      </c>
      <c r="T10" s="106">
        <f>IFERROR(VLOOKUP(INT($I$6)*100+0,METEO_SADM!$A$1:$L$505,7,FALSE),"s/d")</f>
        <v/>
      </c>
      <c r="U10" s="106">
        <f>IFERROR(VLOOKUP(INT($I$6)*100+0,METEO_SADM!$A$1:$L$505,8,FALSE),"s/d")</f>
        <v/>
      </c>
      <c r="V10" s="107">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6">
        <f>IFERROR(VLOOKUP(INT($I$6)*100+1,METEO_SADM!$A$1:$L$505,5,FALSE),"s/d")</f>
        <v/>
      </c>
      <c r="S11" s="106">
        <f>IFERROR(VLOOKUP(INT($I$6)*100+1,METEO_SADM!$A$1:$L$505,6,FALSE),"s/d")</f>
        <v/>
      </c>
      <c r="T11" s="106">
        <f>IFERROR(VLOOKUP(INT($I$6)*100+1,METEO_SADM!$A$1:$L$505,7,FALSE),"s/d")</f>
        <v/>
      </c>
      <c r="U11" s="106">
        <f>IFERROR(VLOOKUP(INT($I$6)*100+1,METEO_SADM!$A$1:$L$505,8,FALSE),"s/d")</f>
        <v/>
      </c>
      <c r="V11" s="107">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6">
        <f>IFERROR(VLOOKUP(INT($I$6)*100+2,METEO_SADM!$A$1:$L$505,5,FALSE),"s/d")</f>
        <v/>
      </c>
      <c r="S12" s="106">
        <f>IFERROR(VLOOKUP(INT($I$6)*100+2,METEO_SADM!$A$1:$L$505,6,FALSE),"s/d")</f>
        <v/>
      </c>
      <c r="T12" s="106">
        <f>IFERROR(VLOOKUP(INT($I$6)*100+2,METEO_SADM!$A$1:$L$505,7,FALSE),"s/d")</f>
        <v/>
      </c>
      <c r="U12" s="106">
        <f>IFERROR(VLOOKUP(INT($I$6)*100+2,METEO_SADM!$A$1:$L$505,8,FALSE),"s/d")</f>
        <v/>
      </c>
      <c r="V12" s="107">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6">
        <f>IFERROR(VLOOKUP(INT($I$6)*100+3,METEO_SADM!$A$1:$L$505,5,FALSE),"s/d")</f>
        <v/>
      </c>
      <c r="S13" s="106">
        <f>IFERROR(VLOOKUP(INT($I$6)*100+3,METEO_SADM!$A$1:$L$505,6,FALSE),"s/d")</f>
        <v/>
      </c>
      <c r="T13" s="106">
        <f>IFERROR(VLOOKUP(INT($I$6)*100+3,METEO_SADM!$A$1:$L$505,7,FALSE),"s/d")</f>
        <v/>
      </c>
      <c r="U13" s="106">
        <f>IFERROR(VLOOKUP(INT($I$6)*100+3,METEO_SADM!$A$1:$L$505,8,FALSE),"s/d")</f>
        <v/>
      </c>
      <c r="V13" s="107">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inlineStr">
        <is>
          <t>IMC</t>
        </is>
      </c>
      <c r="F21" s="12" t="n"/>
      <c r="G21" s="12" t="n"/>
      <c r="H21" s="13">
        <f>SUM(C21:G21)</f>
        <v/>
      </c>
      <c r="I21" s="27" t="n"/>
      <c r="J21" s="32" t="n"/>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inlineStr">
        <is>
          <t>IMC</t>
        </is>
      </c>
      <c r="F22" s="12" t="n"/>
      <c r="G22" s="12" t="n"/>
      <c r="H22" s="13">
        <f>SUM(C22:G22)</f>
        <v/>
      </c>
      <c r="I22" s="27" t="n"/>
      <c r="J22" s="32" t="n"/>
      <c r="K22" s="12" t="n"/>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inlineStr">
        <is>
          <t>IMC</t>
        </is>
      </c>
      <c r="F23" s="12" t="n"/>
      <c r="G23" s="12" t="n"/>
      <c r="H23" s="13">
        <f>SUM(C23:G23)</f>
        <v/>
      </c>
      <c r="I23" s="27" t="n"/>
      <c r="J23" s="32" t="n"/>
      <c r="K23" s="12" t="n"/>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n">
        <v>1</v>
      </c>
      <c r="F24" s="12" t="n"/>
      <c r="G24" s="12" t="n"/>
      <c r="H24" s="13">
        <f>SUM(C24:G24)</f>
        <v/>
      </c>
      <c r="I24" s="27" t="n"/>
      <c r="J24" s="32" t="n"/>
      <c r="K24" s="12" t="n">
        <v>1</v>
      </c>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9</v>
      </c>
      <c r="F25" s="12" t="n">
        <v>14</v>
      </c>
      <c r="G25" s="12" t="n"/>
      <c r="H25" s="13">
        <f>SUM(C25:G25)</f>
        <v/>
      </c>
      <c r="I25" s="27" t="n"/>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19</v>
      </c>
      <c r="F26" s="12" t="n"/>
      <c r="G26" s="12" t="n"/>
      <c r="H26" s="13">
        <f>SUM(C26:G26)</f>
        <v/>
      </c>
      <c r="I26" s="27" t="n"/>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15</v>
      </c>
      <c r="F27" s="12" t="n">
        <v>2</v>
      </c>
      <c r="G27" s="12" t="n"/>
      <c r="H27" s="13">
        <f>SUM(C27:G27)</f>
        <v/>
      </c>
      <c r="I27" s="27" t="n"/>
      <c r="J27" s="3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15</v>
      </c>
      <c r="F28" s="12" t="n">
        <v>16</v>
      </c>
      <c r="G28" s="12" t="n"/>
      <c r="H28" s="13">
        <f>SUM(C28:G28)</f>
        <v/>
      </c>
      <c r="I28" s="27" t="n"/>
      <c r="J28" s="32" t="n"/>
      <c r="K28" s="1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16</v>
      </c>
      <c r="F29" s="12" t="n">
        <v>6</v>
      </c>
      <c r="G29" s="12" t="n"/>
      <c r="H29" s="13">
        <f>SUM(C29:G29)</f>
        <v/>
      </c>
      <c r="I29" s="27" t="n"/>
      <c r="J29" s="3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12</v>
      </c>
      <c r="F30" s="12" t="n">
        <v>32</v>
      </c>
      <c r="G30" s="12" t="n"/>
      <c r="H30" s="13">
        <f>SUM(C30:G30)</f>
        <v/>
      </c>
      <c r="I30" s="27" t="n"/>
      <c r="J30" s="32" t="n"/>
      <c r="K30" s="1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5</v>
      </c>
      <c r="F31" s="12" t="n">
        <v>8</v>
      </c>
      <c r="G31" s="12" t="n"/>
      <c r="H31" s="13">
        <f>SUM(C31:G31)</f>
        <v/>
      </c>
      <c r="I31" s="27" t="n"/>
      <c r="J31" s="32" t="n"/>
      <c r="K31" s="12" t="n">
        <v>1</v>
      </c>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6">
        <f>IFERROR(VLOOKUP(INT($I$6)*100+23,METEO_SADM!$A$1:$L$505,5,FALSE),"s/d")</f>
        <v/>
      </c>
      <c r="S33" s="106">
        <f>IFERROR(VLOOKUP(INT($I$6)*100+23,METEO_SADM!$A$1:$L$505,6,FALSE),"s/d")</f>
        <v/>
      </c>
      <c r="T33" s="106">
        <f>IFERROR(VLOOKUP(INT($I$6)*100+23,METEO_SADM!$A$1:$L$505,7,FALSE),"s/d")</f>
        <v/>
      </c>
      <c r="U33" s="106">
        <f>IFERROR(VLOOKUP(INT($I$6)*100+23,METEO_SADM!$A$1:$L$505,8,FALSE),"s/d")</f>
        <v/>
      </c>
      <c r="V33" s="107">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9.140625" defaultRowHeight="15"/>
  <sheetData/>
  <pageMargins left="0.7" right="0.7" top="0.75" bottom="0.75" header="0.3" footer="0.3"/>
</worksheet>
</file>

<file path=xl/worksheets/sheet18.xml><?xml version="1.0" encoding="utf-8"?>
<worksheet xmlns="http://schemas.openxmlformats.org/spreadsheetml/2006/main">
  <sheetPr>
    <outlinePr summaryBelow="1" summaryRight="1"/>
    <pageSetUpPr fitToPage="1"/>
  </sheetPr>
  <dimension ref="A3:V44"/>
  <sheetViews>
    <sheetView showGridLines="0" topLeftCell="A10" zoomScaleNormal="100" workbookViewId="0">
      <selection activeCell="K31" sqref="K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46251</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n">
        <v>6</v>
      </c>
      <c r="F21" s="12" t="n">
        <v>2</v>
      </c>
      <c r="G21" s="12" t="n"/>
      <c r="H21" s="13">
        <f>SUM(C21:G21)</f>
        <v/>
      </c>
      <c r="I21" s="27" t="n"/>
      <c r="J21" s="32" t="n"/>
      <c r="K21" s="12" t="n">
        <v>1</v>
      </c>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n">
        <v>11</v>
      </c>
      <c r="F22" s="12" t="n">
        <v>42</v>
      </c>
      <c r="G22" s="12" t="n"/>
      <c r="H22" s="13">
        <f>SUM(C22:G22)</f>
        <v/>
      </c>
      <c r="I22" s="27" t="n"/>
      <c r="J22" s="32" t="n"/>
      <c r="K22" s="12" t="n">
        <v>1</v>
      </c>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n">
        <v>5</v>
      </c>
      <c r="F23" s="12" t="n">
        <v>12</v>
      </c>
      <c r="G23" s="12" t="n"/>
      <c r="H23" s="13">
        <f>SUM(C23:G23)</f>
        <v/>
      </c>
      <c r="I23" s="27" t="n"/>
      <c r="J23" s="32" t="n"/>
      <c r="K23" s="12" t="n">
        <v>1</v>
      </c>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n">
        <v>12</v>
      </c>
      <c r="F24" s="12" t="n">
        <v>22</v>
      </c>
      <c r="G24" s="12" t="n"/>
      <c r="H24" s="13">
        <f>SUM(C24:G24)</f>
        <v/>
      </c>
      <c r="I24" s="27" t="n"/>
      <c r="J24" s="32" t="n"/>
      <c r="K24" s="12" t="n">
        <v>1</v>
      </c>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c r="D25" s="12" t="n"/>
      <c r="E25" s="12" t="n">
        <v>17</v>
      </c>
      <c r="F25" s="12" t="n">
        <v>12</v>
      </c>
      <c r="G25" s="12" t="n">
        <v>1</v>
      </c>
      <c r="H25" s="13">
        <f>SUM(C25:G25)</f>
        <v/>
      </c>
      <c r="I25" s="27" t="n"/>
      <c r="J25" s="32" t="n"/>
      <c r="K25" s="12" t="n">
        <v>1</v>
      </c>
      <c r="L25" s="12" t="n"/>
      <c r="M25" s="14" t="n"/>
      <c r="O25" s="4" t="n"/>
      <c r="R25" s="106">
        <f>IFERROR(VLOOKUP(INT($I$6)*100+15,METEO_SADM!$A$1:$L$505,5,FALSE),"s/d")</f>
        <v/>
      </c>
      <c r="S25" s="106">
        <f>IFERROR(VLOOKUP(INT($I$6)*100+15,METEO_SADM!$A$1:$L$505,6,FALSE),"s/d")</f>
        <v/>
      </c>
      <c r="T25" s="106">
        <f>IFERROR(VLOOKUP(INT($I$6)*100+15,METEO_SADM!$A$1:$L$505,7,FALSE),"s/d")</f>
        <v/>
      </c>
      <c r="U25" s="106">
        <f>IFERROR(VLOOKUP(INT($I$6)*100+15,METEO_SADM!$A$1:$L$505,8,FALSE),"s/d")</f>
        <v/>
      </c>
      <c r="V25" s="107">
        <f>IFERROR(VLOOKUP(INT($I$6)*100+15,METEO_SADM!$A$1:$L$505,9,FALSE),"s/d")</f>
        <v/>
      </c>
    </row>
    <row r="26" ht="19.5" customFormat="1" customHeight="1" s="3">
      <c r="A26" s="1" t="n"/>
      <c r="B26" s="11" t="inlineStr">
        <is>
          <t>16 a 17</t>
        </is>
      </c>
      <c r="C26" s="12" t="n"/>
      <c r="D26" s="12" t="n"/>
      <c r="E26" s="12" t="n">
        <v>18</v>
      </c>
      <c r="F26" s="12" t="n">
        <v>24</v>
      </c>
      <c r="G26" s="12" t="n">
        <v>1</v>
      </c>
      <c r="H26" s="13">
        <f>SUM(C26:G26)</f>
        <v/>
      </c>
      <c r="I26" s="27" t="n"/>
      <c r="J26" s="32" t="n"/>
      <c r="K26" s="12" t="n">
        <v>1</v>
      </c>
      <c r="L26" s="12" t="n"/>
      <c r="M26" s="14" t="n"/>
      <c r="O26" s="4" t="n"/>
      <c r="R26" s="106">
        <f>IFERROR(VLOOKUP(INT($I$6)*100+16,METEO_SADM!$A$1:$L$505,5,FALSE),"s/d")</f>
        <v/>
      </c>
      <c r="S26" s="106">
        <f>IFERROR(VLOOKUP(INT($I$6)*100+16,METEO_SADM!$A$1:$L$505,6,FALSE),"s/d")</f>
        <v/>
      </c>
      <c r="T26" s="106">
        <f>IFERROR(VLOOKUP(INT($I$6)*100+16,METEO_SADM!$A$1:$L$505,7,FALSE),"s/d")</f>
        <v/>
      </c>
      <c r="U26" s="106">
        <f>IFERROR(VLOOKUP(INT($I$6)*100+16,METEO_SADM!$A$1:$L$505,8,FALSE),"s/d")</f>
        <v/>
      </c>
      <c r="V26" s="107">
        <f>IFERROR(VLOOKUP(INT($I$6)*100+16,METEO_SADM!$A$1:$L$505,9,FALSE),"s/d")</f>
        <v/>
      </c>
    </row>
    <row r="27" ht="19.5" customFormat="1" customHeight="1" s="3">
      <c r="A27" s="1" t="n"/>
      <c r="B27" s="11" t="inlineStr">
        <is>
          <t>17 a 18</t>
        </is>
      </c>
      <c r="C27" s="12" t="n"/>
      <c r="D27" s="12" t="n"/>
      <c r="E27" s="12" t="n">
        <v>17</v>
      </c>
      <c r="F27" s="12" t="n">
        <v>20</v>
      </c>
      <c r="G27" s="12" t="n"/>
      <c r="H27" s="13">
        <f>SUM(C27:G27)</f>
        <v/>
      </c>
      <c r="I27" s="27" t="n"/>
      <c r="J27" s="3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19</v>
      </c>
      <c r="F28" s="12" t="n">
        <v>12</v>
      </c>
      <c r="G28" s="12" t="n"/>
      <c r="H28" s="13">
        <f>SUM(C28:G28)</f>
        <v/>
      </c>
      <c r="I28" s="27" t="n"/>
      <c r="J28" s="32" t="n"/>
      <c r="K28" s="1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16</v>
      </c>
      <c r="F29" s="12" t="n">
        <v>4</v>
      </c>
      <c r="G29" s="12" t="n"/>
      <c r="H29" s="13">
        <f>SUM(C29:G29)</f>
        <v/>
      </c>
      <c r="I29" s="27" t="n"/>
      <c r="J29" s="3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21</v>
      </c>
      <c r="F30" s="12" t="n">
        <v>34</v>
      </c>
      <c r="G30" s="12" t="n"/>
      <c r="H30" s="13">
        <f>SUM(C30:G30)</f>
        <v/>
      </c>
      <c r="I30" s="27" t="n"/>
      <c r="J30" s="32" t="n"/>
      <c r="K30" s="1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3</v>
      </c>
      <c r="F31" s="12" t="n"/>
      <c r="G31" s="12" t="n"/>
      <c r="H31" s="13">
        <f>SUM(C31:G31)</f>
        <v/>
      </c>
      <c r="I31" s="27" t="n"/>
      <c r="J31" s="32" t="n"/>
      <c r="K31" s="12" t="n"/>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3:V44"/>
  <sheetViews>
    <sheetView showGridLines="0" topLeftCell="A7" zoomScaleNormal="100" workbookViewId="0">
      <selection activeCell="K32" sqref="K32"/>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46252</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6">
        <f>IFERROR(VLOOKUP(INT($I$6)*100+2,METEO_SADM!$A$1:$L$505,5,FALSE),"s/d")</f>
        <v/>
      </c>
      <c r="S12" s="106">
        <f>IFERROR(VLOOKUP(INT($I$6)*100+2,METEO_SADM!$A$1:$L$505,6,FALSE),"s/d")</f>
        <v/>
      </c>
      <c r="T12" s="106">
        <f>IFERROR(VLOOKUP(INT($I$6)*100+2,METEO_SADM!$A$1:$L$505,7,FALSE),"s/d")</f>
        <v/>
      </c>
      <c r="U12" s="106">
        <f>IFERROR(VLOOKUP(INT($I$6)*100+2,METEO_SADM!$A$1:$L$505,8,FALSE),"s/d")</f>
        <v/>
      </c>
      <c r="V12" s="107">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6">
        <f>IFERROR(VLOOKUP(INT($I$6)*100+3,METEO_SADM!$A$1:$L$505,5,FALSE),"s/d")</f>
        <v/>
      </c>
      <c r="S13" s="106">
        <f>IFERROR(VLOOKUP(INT($I$6)*100+3,METEO_SADM!$A$1:$L$505,6,FALSE),"s/d")</f>
        <v/>
      </c>
      <c r="T13" s="106">
        <f>IFERROR(VLOOKUP(INT($I$6)*100+3,METEO_SADM!$A$1:$L$505,7,FALSE),"s/d")</f>
        <v/>
      </c>
      <c r="U13" s="106">
        <f>IFERROR(VLOOKUP(INT($I$6)*100+3,METEO_SADM!$A$1:$L$505,8,FALSE),"s/d")</f>
        <v/>
      </c>
      <c r="V13" s="107">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6">
        <f>IFERROR(VLOOKUP(INT($I$6)*100+4,METEO_SADM!$A$1:$L$505,5,FALSE),"s/d")</f>
        <v/>
      </c>
      <c r="S14" s="106">
        <f>IFERROR(VLOOKUP(INT($I$6)*100+4,METEO_SADM!$A$1:$L$505,6,FALSE),"s/d")</f>
        <v/>
      </c>
      <c r="T14" s="106">
        <f>IFERROR(VLOOKUP(INT($I$6)*100+4,METEO_SADM!$A$1:$L$505,7,FALSE),"s/d")</f>
        <v/>
      </c>
      <c r="U14" s="106">
        <f>IFERROR(VLOOKUP(INT($I$6)*100+4,METEO_SADM!$A$1:$L$505,8,FALSE),"s/d")</f>
        <v/>
      </c>
      <c r="V14" s="107">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6">
        <f>IFERROR(VLOOKUP(INT($I$6)*100+5,METEO_SADM!$A$1:$L$505,5,FALSE),"s/d")</f>
        <v/>
      </c>
      <c r="S15" s="106">
        <f>IFERROR(VLOOKUP(INT($I$6)*100+5,METEO_SADM!$A$1:$L$505,6,FALSE),"s/d")</f>
        <v/>
      </c>
      <c r="T15" s="106">
        <f>IFERROR(VLOOKUP(INT($I$6)*100+5,METEO_SADM!$A$1:$L$505,7,FALSE),"s/d")</f>
        <v/>
      </c>
      <c r="U15" s="106">
        <f>IFERROR(VLOOKUP(INT($I$6)*100+5,METEO_SADM!$A$1:$L$505,8,FALSE),"s/d")</f>
        <v/>
      </c>
      <c r="V15" s="107">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6">
        <f>IFERROR(VLOOKUP(INT($I$6)*100+6,METEO_SADM!$A$1:$L$505,5,FALSE),"s/d")</f>
        <v/>
      </c>
      <c r="S16" s="106">
        <f>IFERROR(VLOOKUP(INT($I$6)*100+6,METEO_SADM!$A$1:$L$505,6,FALSE),"s/d")</f>
        <v/>
      </c>
      <c r="T16" s="106">
        <f>IFERROR(VLOOKUP(INT($I$6)*100+6,METEO_SADM!$A$1:$L$505,7,FALSE),"s/d")</f>
        <v/>
      </c>
      <c r="U16" s="106">
        <f>IFERROR(VLOOKUP(INT($I$6)*100+6,METEO_SADM!$A$1:$L$505,8,FALSE),"s/d")</f>
        <v/>
      </c>
      <c r="V16" s="107">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6">
        <f>IFERROR(VLOOKUP(INT($I$6)*100+7,METEO_SADM!$A$1:$L$505,5,FALSE),"s/d")</f>
        <v/>
      </c>
      <c r="S17" s="106">
        <f>IFERROR(VLOOKUP(INT($I$6)*100+7,METEO_SADM!$A$1:$L$505,6,FALSE),"s/d")</f>
        <v/>
      </c>
      <c r="T17" s="106">
        <f>IFERROR(VLOOKUP(INT($I$6)*100+7,METEO_SADM!$A$1:$L$505,7,FALSE),"s/d")</f>
        <v/>
      </c>
      <c r="U17" s="106">
        <f>IFERROR(VLOOKUP(INT($I$6)*100+7,METEO_SADM!$A$1:$L$505,8,FALSE),"s/d")</f>
        <v/>
      </c>
      <c r="V17" s="107">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inlineStr">
        <is>
          <t>IMC</t>
        </is>
      </c>
      <c r="F21" s="12" t="n"/>
      <c r="G21" s="12" t="n"/>
      <c r="H21" s="13">
        <f>SUM(C21:G21)</f>
        <v/>
      </c>
      <c r="I21" s="27" t="n"/>
      <c r="J21" s="32" t="n"/>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n">
        <v>1</v>
      </c>
      <c r="F22" s="12" t="n"/>
      <c r="G22" s="12" t="n"/>
      <c r="H22" s="13">
        <f>SUM(C22:G22)</f>
        <v/>
      </c>
      <c r="I22" s="27" t="n"/>
      <c r="J22" s="32" t="n"/>
      <c r="K22" s="12" t="n">
        <v>1</v>
      </c>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n">
        <v>6</v>
      </c>
      <c r="F23" s="12" t="n"/>
      <c r="G23" s="12" t="n"/>
      <c r="H23" s="13">
        <f>SUM(C23:G23)</f>
        <v/>
      </c>
      <c r="I23" s="27" t="n"/>
      <c r="J23" s="32" t="n"/>
      <c r="K23" s="12" t="n">
        <v>1</v>
      </c>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n">
        <v>13</v>
      </c>
      <c r="F24" s="12" t="n"/>
      <c r="G24" s="12" t="n"/>
      <c r="H24" s="13">
        <f>SUM(C24:G24)</f>
        <v/>
      </c>
      <c r="I24" s="27" t="n"/>
      <c r="J24" s="32" t="n"/>
      <c r="K24" s="12" t="n">
        <v>1</v>
      </c>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22</v>
      </c>
      <c r="F25" s="12" t="n">
        <v>6</v>
      </c>
      <c r="G25" s="12" t="n"/>
      <c r="H25" s="13">
        <f>SUM(C25:G25)</f>
        <v/>
      </c>
      <c r="I25" s="27" t="n"/>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23</v>
      </c>
      <c r="F26" s="12" t="n">
        <v>12</v>
      </c>
      <c r="G26" s="12" t="n"/>
      <c r="H26" s="13">
        <f>SUM(C26:G26)</f>
        <v/>
      </c>
      <c r="I26" s="27" t="n">
        <v>1</v>
      </c>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30</v>
      </c>
      <c r="F27" s="12" t="n">
        <v>20</v>
      </c>
      <c r="G27" s="12" t="n"/>
      <c r="H27" s="13">
        <f>SUM(C27:G27)</f>
        <v/>
      </c>
      <c r="I27" s="27" t="n"/>
      <c r="J27" s="3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25</v>
      </c>
      <c r="F28" s="12" t="n">
        <v>6</v>
      </c>
      <c r="G28" s="12" t="n"/>
      <c r="H28" s="13">
        <f>SUM(C28:G28)</f>
        <v/>
      </c>
      <c r="I28" s="27" t="n"/>
      <c r="J28" s="32" t="n"/>
      <c r="K28" s="1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26</v>
      </c>
      <c r="F29" s="12" t="n">
        <v>6</v>
      </c>
      <c r="G29" s="12" t="n"/>
      <c r="H29" s="13">
        <f>SUM(C29:G29)</f>
        <v/>
      </c>
      <c r="I29" s="27" t="n"/>
      <c r="J29" s="3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21</v>
      </c>
      <c r="F30" s="12" t="n">
        <v>10</v>
      </c>
      <c r="G30" s="12" t="n"/>
      <c r="H30" s="13">
        <f>SUM(C30:G30)</f>
        <v/>
      </c>
      <c r="I30" s="27" t="n"/>
      <c r="J30" s="32" t="n"/>
      <c r="K30" s="1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4</v>
      </c>
      <c r="F31" s="12" t="n"/>
      <c r="G31" s="12" t="n"/>
      <c r="H31" s="13">
        <f>SUM(C31:G31)</f>
        <v/>
      </c>
      <c r="I31" s="27" t="n"/>
      <c r="J31" s="32" t="n"/>
      <c r="K31" s="12" t="n">
        <v>1</v>
      </c>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3:V44"/>
  <sheetViews>
    <sheetView showGridLines="0" topLeftCell="A10" zoomScaleNormal="100" workbookViewId="0">
      <selection activeCell="F31" sqref="F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46253</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6">
        <f>IFERROR(VLOOKUP(INT($I$6)*100+7,METEO_SADM!$A$1:$L$505,5,FALSE),"s/d")</f>
        <v/>
      </c>
      <c r="S17" s="106">
        <f>IFERROR(VLOOKUP(INT($I$6)*100+7,METEO_SADM!$A$1:$L$505,6,FALSE),"s/d")</f>
        <v/>
      </c>
      <c r="T17" s="106">
        <f>IFERROR(VLOOKUP(INT($I$6)*100+7,METEO_SADM!$A$1:$L$505,7,FALSE),"s/d")</f>
        <v/>
      </c>
      <c r="U17" s="106">
        <f>IFERROR(VLOOKUP(INT($I$6)*100+7,METEO_SADM!$A$1:$L$505,8,FALSE),"s/d")</f>
        <v/>
      </c>
      <c r="V17" s="107">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6">
        <f>IFERROR(VLOOKUP(INT($I$6)*100+8,METEO_SADM!$A$1:$L$505,5,FALSE),"s/d")</f>
        <v/>
      </c>
      <c r="S18" s="106">
        <f>IFERROR(VLOOKUP(INT($I$6)*100+8,METEO_SADM!$A$1:$L$505,6,FALSE),"s/d")</f>
        <v/>
      </c>
      <c r="T18" s="106">
        <f>IFERROR(VLOOKUP(INT($I$6)*100+8,METEO_SADM!$A$1:$L$505,7,FALSE),"s/d")</f>
        <v/>
      </c>
      <c r="U18" s="106">
        <f>IFERROR(VLOOKUP(INT($I$6)*100+8,METEO_SADM!$A$1:$L$505,8,FALSE),"s/d")</f>
        <v/>
      </c>
      <c r="V18" s="107">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6">
        <f>IFERROR(VLOOKUP(INT($I$6)*100+9,METEO_SADM!$A$1:$L$505,5,FALSE),"s/d")</f>
        <v/>
      </c>
      <c r="S19" s="106">
        <f>IFERROR(VLOOKUP(INT($I$6)*100+9,METEO_SADM!$A$1:$L$505,6,FALSE),"s/d")</f>
        <v/>
      </c>
      <c r="T19" s="106">
        <f>IFERROR(VLOOKUP(INT($I$6)*100+9,METEO_SADM!$A$1:$L$505,7,FALSE),"s/d")</f>
        <v/>
      </c>
      <c r="U19" s="106">
        <f>IFERROR(VLOOKUP(INT($I$6)*100+9,METEO_SADM!$A$1:$L$505,8,FALSE),"s/d")</f>
        <v/>
      </c>
      <c r="V19" s="107">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n">
        <v>5</v>
      </c>
      <c r="F22" s="12" t="n"/>
      <c r="G22" s="12" t="n"/>
      <c r="H22" s="13">
        <f>SUM(C22:G22)</f>
        <v/>
      </c>
      <c r="I22" s="27" t="n"/>
      <c r="J22" s="32" t="n"/>
      <c r="K22" s="12" t="n">
        <v>1</v>
      </c>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n">
        <v>11</v>
      </c>
      <c r="F23" s="12" t="n"/>
      <c r="G23" s="12" t="n"/>
      <c r="H23" s="13">
        <f>SUM(C23:G23)</f>
        <v/>
      </c>
      <c r="I23" s="27" t="n">
        <v>1</v>
      </c>
      <c r="J23" s="32" t="n">
        <v>1</v>
      </c>
      <c r="K23" s="12" t="n"/>
      <c r="L23" s="12" t="n"/>
      <c r="M23" s="14" t="n"/>
      <c r="O23" s="4" t="n"/>
      <c r="R23" s="104">
        <f>IFERROR(VLOOKUP(INT($I$6)*100+13,METEO_SADM!$A$1:$L$505,5,FALSE),"s/d")</f>
        <v/>
      </c>
      <c r="S23" s="104">
        <f>IFERROR(VLOOKUP(INT($I$6)*100+13,METEO_SADM!$A$1:$L$505,6,FALSE),"s/d")</f>
        <v/>
      </c>
      <c r="T23" s="104">
        <f>IFERROR(VLOOKUP(INT($I$6)*100+13,METEO_SADM!$A$1:$L$505,7,FALSE),"s/d")</f>
        <v/>
      </c>
      <c r="U23" s="104">
        <f>IFERROR(VLOOKUP(INT($I$6)*100+13,METEO_SADM!$A$1:$L$505,8,FALSE),"s/d")</f>
        <v/>
      </c>
      <c r="V23" s="105">
        <f>IFERROR(VLOOKUP(INT($I$6)*100+13,METEO_SADM!$A$1:$L$505,9,FALSE),"s/d")</f>
        <v/>
      </c>
    </row>
    <row r="24" ht="19.5" customFormat="1" customHeight="1" s="3">
      <c r="A24" s="1" t="n"/>
      <c r="B24" s="11" t="inlineStr">
        <is>
          <t xml:space="preserve">14 a 15 </t>
        </is>
      </c>
      <c r="C24" s="12" t="n"/>
      <c r="D24" s="12" t="n"/>
      <c r="E24" s="12" t="n">
        <v>23</v>
      </c>
      <c r="F24" s="12" t="n">
        <v>8</v>
      </c>
      <c r="G24" s="12" t="n"/>
      <c r="H24" s="13">
        <f>SUM(C24:G24)</f>
        <v/>
      </c>
      <c r="I24" s="27" t="n">
        <v>1</v>
      </c>
      <c r="J24" s="32" t="n">
        <v>1</v>
      </c>
      <c r="K24" s="12" t="n"/>
      <c r="L24" s="12" t="n"/>
      <c r="M24" s="14" t="n"/>
      <c r="O24" s="4" t="n"/>
      <c r="R24" s="104">
        <f>IFERROR(VLOOKUP(INT($I$6)*100+14,METEO_SADM!$A$1:$L$505,5,FALSE),"s/d")</f>
        <v/>
      </c>
      <c r="S24" s="104">
        <f>IFERROR(VLOOKUP(INT($I$6)*100+14,METEO_SADM!$A$1:$L$505,6,FALSE),"s/d")</f>
        <v/>
      </c>
      <c r="T24" s="104">
        <f>IFERROR(VLOOKUP(INT($I$6)*100+14,METEO_SADM!$A$1:$L$505,7,FALSE),"s/d")</f>
        <v/>
      </c>
      <c r="U24" s="104">
        <f>IFERROR(VLOOKUP(INT($I$6)*100+14,METEO_SADM!$A$1:$L$505,8,FALSE),"s/d")</f>
        <v/>
      </c>
      <c r="V24" s="105">
        <f>IFERROR(VLOOKUP(INT($I$6)*100+14,METEO_SADM!$A$1:$L$505,9,FALSE),"s/d")</f>
        <v/>
      </c>
    </row>
    <row r="25" ht="19.5" customFormat="1" customHeight="1" s="3">
      <c r="A25" s="1" t="n"/>
      <c r="B25" s="11" t="inlineStr">
        <is>
          <t>15 a 16</t>
        </is>
      </c>
      <c r="C25" s="12" t="n"/>
      <c r="D25" s="12" t="n"/>
      <c r="E25" s="12" t="n">
        <v>29</v>
      </c>
      <c r="F25" s="12" t="n">
        <v>10</v>
      </c>
      <c r="G25" s="12" t="n"/>
      <c r="H25" s="13">
        <f>SUM(C25:G25)</f>
        <v/>
      </c>
      <c r="I25" s="27" t="n"/>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c r="D26" s="12" t="n"/>
      <c r="E26" s="12" t="n">
        <v>29</v>
      </c>
      <c r="F26" s="12" t="n"/>
      <c r="G26" s="12" t="n"/>
      <c r="H26" s="13">
        <f>SUM(C26:G26)</f>
        <v/>
      </c>
      <c r="I26" s="27" t="n"/>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c r="D27" s="12" t="n"/>
      <c r="E27" s="12" t="n">
        <v>32</v>
      </c>
      <c r="F27" s="12" t="n">
        <v>2</v>
      </c>
      <c r="G27" s="12" t="n"/>
      <c r="H27" s="13">
        <f>SUM(C27:G27)</f>
        <v/>
      </c>
      <c r="I27" s="27" t="n">
        <v>1</v>
      </c>
      <c r="J27" s="3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c r="D28" s="12" t="n"/>
      <c r="E28" s="12" t="n">
        <v>29</v>
      </c>
      <c r="F28" s="12" t="n">
        <v>8</v>
      </c>
      <c r="G28" s="12" t="n"/>
      <c r="H28" s="13">
        <f>SUM(C28:G28)</f>
        <v/>
      </c>
      <c r="I28" s="27" t="n"/>
      <c r="J28" s="32" t="n">
        <v>1</v>
      </c>
      <c r="K28" s="12" t="n"/>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c r="D29" s="12" t="n"/>
      <c r="E29" s="12" t="n">
        <v>29</v>
      </c>
      <c r="F29" s="12" t="n">
        <v>10</v>
      </c>
      <c r="G29" s="12" t="n"/>
      <c r="H29" s="13">
        <f>SUM(C29:G29)</f>
        <v/>
      </c>
      <c r="I29" s="27" t="n"/>
      <c r="J29" s="32" t="n">
        <v>1</v>
      </c>
      <c r="K29" s="12" t="n"/>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c r="D30" s="12" t="n"/>
      <c r="E30" s="12" t="n">
        <v>26</v>
      </c>
      <c r="F30" s="49" t="n">
        <v>6</v>
      </c>
      <c r="G30" s="12" t="n"/>
      <c r="H30" s="13">
        <f>SUM(C30:G30)</f>
        <v/>
      </c>
      <c r="I30" s="27" t="n"/>
      <c r="J30" s="32" t="n">
        <v>1</v>
      </c>
      <c r="K30" s="12" t="n"/>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11</v>
      </c>
      <c r="F31" s="49" t="inlineStr">
        <is>
          <t>2A3394/2026
AVISOS FIR EZEIZA
(-EF)
Desde: 2026-08-25 12:00:00
Hasta: 2026-08-27 19:00:00
AFIL AND ABBREVIATED FLT DATA WILL NOT BE ACCEPTED IN CTA EZEIZA I, CTA EZEIZA II, TMA BAIRES AND CTR EZEIZA TO AVOID TFC CONGESTION EXC SAN, HUM AND STAA3394/2026
AVISOS FIR EZEIZA
(-EF)
Desde: 2026-08-25 12:00:00
Hasta: 2026-08-27 19:00:00
AFIL AND ABBREVIATED FLT DATA WILL NOT BE ACCEPTED IN CTA EZEIZA I, CTA EZEIZA II, TMA BAIRES AND CTR EZEIZA TO AVOID TFC CONGESTION EXC SAN, HUM AND STATE FLT
Versión en Español:
NO SE ACEPTARA FLT AFIL Y DATOS ABREVIADOS DE VUELOS EN CTA EZEIZA I, CTA EZEIZA II, TMA BAIRES Y CTR EZEIZA PARA EVITAR CONGESTION TFC EXC FLT SAN, HUM Y ESTADOA3394/2026
AVISOS FIR EZEIZA
(-EF)
Desde: 2026-08-25 12:00:00
Hasta: 2026-08-27 19:00:00
AFIL AND ABBREVIATED FLT DATA WILL NOT BE ACCEPTED IN CTA EZEIZA I, CTA EZEIZA II, TMA BAIRES AND CTR EZEIZA TO AVOID TFC CONGESTION EXC SAN, HUM AND STATE FLT
Versión en Español:
NO SE ACEPTARA FLT AFIL Y DATOS ABREVIADOS DE VUELOS EN CTA EZEIZA I, CTA EZEIZA II, TMA BAIRES Y CTR EZEIZA PARA EVITAR CONGESTION TFC EXC FLT SAN, HUM Y ESTADO
AVISOS FIR EZEIZA
(-EF)
Desde: 2026-08-25 12:00:00
Hasta: 2026-08-27 19:00:00
AFIL AND ABBREVIATED FLT DATA WILL NOT BE ACCEPTED IN CTA EZEIZA I, CTA EZEIZA II, TMA BAIRES AND CTR EZEIZA TO AVOID TFC CONGESTION EXC SAN, HUM AND STATE FLT
Versión en Español:
NO SE ACEPTARA FLT AFIL Y DATOS ABREVIADOS DE VUELOS EN CTA EZEIZA I, CTA EZEIZA II, TMA BAIRES Y CTR EZEIZA PARA EVITAR CONGESTION TFC EXC FLT SAN, HUM Y ESTADO
AVISOS FIR EZEIZA
(-EF)
Desde: 2026-08-25 12:00:00
Hasta: 2026-08-27 19:00:00
AFIL AND ABBREVIATED FLT DATA WILL NOT BE ACCEPTED IN CTA EZEIZA I, CTA EZEIZA II, TMA BAIRES AND CTR EZEIZA TO AVOID TFC CONGESTION EXC SAN, HUM AND STATE FLT
Versión en Español:
NO SE ACEPTARA FLT AFIL Y DATOS ABREVIADOS DE VUELOS EN CTA EZEIZA I, CTA EZEIZA II, TMA BAIRES Y CTR EZEIZA PARA EVITAR CONGESTION TFC EXC FLT SAN, HUM Y ESTADO</t>
        </is>
      </c>
      <c r="G31" s="12" t="n"/>
      <c r="H31" s="13">
        <f>SUM(C31:G31)</f>
        <v/>
      </c>
      <c r="I31" s="27" t="n"/>
      <c r="J31" s="32" t="n">
        <v>1</v>
      </c>
      <c r="K31" s="12" t="n"/>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3:V44"/>
  <sheetViews>
    <sheetView showGridLines="0" tabSelected="1" topLeftCell="A4" zoomScaleNormal="100" workbookViewId="0">
      <selection activeCell="F31" sqref="F31"/>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46254</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6">
        <f>IFERROR(VLOOKUP(INT($I$6)*100+10,METEO_SADM!$A$1:$L$505,5,FALSE),"s/d")</f>
        <v/>
      </c>
      <c r="S20" s="106">
        <f>IFERROR(VLOOKUP(INT($I$6)*100+10,METEO_SADM!$A$1:$L$505,6,FALSE),"s/d")</f>
        <v/>
      </c>
      <c r="T20" s="106">
        <f>IFERROR(VLOOKUP(INT($I$6)*100+10,METEO_SADM!$A$1:$L$505,7,FALSE),"s/d")</f>
        <v/>
      </c>
      <c r="U20" s="106">
        <f>IFERROR(VLOOKUP(INT($I$6)*100+10,METEO_SADM!$A$1:$L$505,8,FALSE),"s/d")</f>
        <v/>
      </c>
      <c r="V20" s="107">
        <f>IFERROR(VLOOKUP(INT($I$6)*100+10,METEO_SADM!$A$1:$L$505,9,FALSE),"s/d")</f>
        <v/>
      </c>
    </row>
    <row r="21" ht="19.5" customFormat="1" customHeight="1" s="3">
      <c r="A21" s="1" t="n"/>
      <c r="B21" s="11" t="inlineStr">
        <is>
          <t>11 a 12</t>
        </is>
      </c>
      <c r="C21" s="12" t="n"/>
      <c r="D21" s="12" t="n"/>
      <c r="E21" s="12" t="inlineStr">
        <is>
          <t>IMC</t>
        </is>
      </c>
      <c r="F21" s="12" t="n"/>
      <c r="G21" s="12" t="n"/>
      <c r="H21" s="13">
        <f>SUM(C21:G21)</f>
        <v/>
      </c>
      <c r="I21" s="27" t="n"/>
      <c r="J21" s="32" t="n"/>
      <c r="K21" s="12" t="n"/>
      <c r="L21" s="12" t="n"/>
      <c r="M21" s="14" t="n"/>
      <c r="O21" s="4" t="n"/>
      <c r="R21" s="106">
        <f>IFERROR(VLOOKUP(INT($I$6)*100+11,METEO_SADM!$A$1:$L$505,5,FALSE),"s/d")</f>
        <v/>
      </c>
      <c r="S21" s="106">
        <f>IFERROR(VLOOKUP(INT($I$6)*100+11,METEO_SADM!$A$1:$L$505,6,FALSE),"s/d")</f>
        <v/>
      </c>
      <c r="T21" s="106">
        <f>IFERROR(VLOOKUP(INT($I$6)*100+11,METEO_SADM!$A$1:$L$505,7,FALSE),"s/d")</f>
        <v/>
      </c>
      <c r="U21" s="106">
        <f>IFERROR(VLOOKUP(INT($I$6)*100+11,METEO_SADM!$A$1:$L$505,8,FALSE),"s/d")</f>
        <v/>
      </c>
      <c r="V21" s="107">
        <f>IFERROR(VLOOKUP(INT($I$6)*100+11,METEO_SADM!$A$1:$L$505,9,FALSE),"s/d")</f>
        <v/>
      </c>
    </row>
    <row r="22" ht="19.5" customFormat="1" customHeight="1" s="3">
      <c r="A22" s="1" t="n"/>
      <c r="B22" s="11" t="inlineStr">
        <is>
          <t>12 a 13</t>
        </is>
      </c>
      <c r="C22" s="12" t="n"/>
      <c r="D22" s="12" t="n"/>
      <c r="E22" s="12" t="inlineStr">
        <is>
          <t>IMC</t>
        </is>
      </c>
      <c r="F22" s="12" t="n"/>
      <c r="G22" s="12" t="n"/>
      <c r="H22" s="13">
        <f>SUM(C22:G22)</f>
        <v/>
      </c>
      <c r="I22" s="27" t="n"/>
      <c r="J22" s="32" t="n"/>
      <c r="K22" s="12" t="n"/>
      <c r="L22" s="12" t="n"/>
      <c r="M22" s="14" t="n"/>
      <c r="O22" s="4" t="n"/>
      <c r="R22" s="106">
        <f>IFERROR(VLOOKUP(INT($I$6)*100+12,METEO_SADM!$A$1:$L$505,5,FALSE),"s/d")</f>
        <v/>
      </c>
      <c r="S22" s="106">
        <f>IFERROR(VLOOKUP(INT($I$6)*100+12,METEO_SADM!$A$1:$L$505,6,FALSE),"s/d")</f>
        <v/>
      </c>
      <c r="T22" s="106">
        <f>IFERROR(VLOOKUP(INT($I$6)*100+12,METEO_SADM!$A$1:$L$505,7,FALSE),"s/d")</f>
        <v/>
      </c>
      <c r="U22" s="106">
        <f>IFERROR(VLOOKUP(INT($I$6)*100+12,METEO_SADM!$A$1:$L$505,8,FALSE),"s/d")</f>
        <v/>
      </c>
      <c r="V22" s="107">
        <f>IFERROR(VLOOKUP(INT($I$6)*100+12,METEO_SADM!$A$1:$L$505,9,FALSE),"s/d")</f>
        <v/>
      </c>
    </row>
    <row r="23" ht="19.5" customFormat="1" customHeight="1" s="3">
      <c r="A23" s="1" t="n"/>
      <c r="B23" s="11" t="inlineStr">
        <is>
          <t>13 a 14</t>
        </is>
      </c>
      <c r="C23" s="12" t="n"/>
      <c r="D23" s="12" t="n"/>
      <c r="E23" s="12" t="inlineStr">
        <is>
          <t>IMC</t>
        </is>
      </c>
      <c r="F23" s="12" t="n"/>
      <c r="G23" s="12" t="n"/>
      <c r="H23" s="13">
        <f>SUM(C23:G23)</f>
        <v/>
      </c>
      <c r="I23" s="27" t="n"/>
      <c r="J23" s="32" t="n"/>
      <c r="K23" s="12" t="n"/>
      <c r="L23" s="12" t="n"/>
      <c r="M23" s="14" t="n"/>
      <c r="O23" s="4" t="n"/>
      <c r="R23" s="106">
        <f>IFERROR(VLOOKUP(INT($I$6)*100+13,METEO_SADM!$A$1:$L$505,5,FALSE),"s/d")</f>
        <v/>
      </c>
      <c r="S23" s="106">
        <f>IFERROR(VLOOKUP(INT($I$6)*100+13,METEO_SADM!$A$1:$L$505,6,FALSE),"s/d")</f>
        <v/>
      </c>
      <c r="T23" s="106">
        <f>IFERROR(VLOOKUP(INT($I$6)*100+13,METEO_SADM!$A$1:$L$505,7,FALSE),"s/d")</f>
        <v/>
      </c>
      <c r="U23" s="106">
        <f>IFERROR(VLOOKUP(INT($I$6)*100+13,METEO_SADM!$A$1:$L$505,8,FALSE),"s/d")</f>
        <v/>
      </c>
      <c r="V23" s="107">
        <f>IFERROR(VLOOKUP(INT($I$6)*100+13,METEO_SADM!$A$1:$L$505,9,FALSE),"s/d")</f>
        <v/>
      </c>
    </row>
    <row r="24" ht="19.5" customFormat="1" customHeight="1" s="3">
      <c r="A24" s="1" t="n"/>
      <c r="B24" s="11" t="inlineStr">
        <is>
          <t xml:space="preserve">14 a 15 </t>
        </is>
      </c>
      <c r="C24" s="12" t="n"/>
      <c r="D24" s="12" t="n"/>
      <c r="E24" s="12" t="inlineStr">
        <is>
          <t>IMC</t>
        </is>
      </c>
      <c r="F24" s="12" t="n"/>
      <c r="G24" s="12" t="n"/>
      <c r="H24" s="13">
        <f>SUM(C24:G24)</f>
        <v/>
      </c>
      <c r="I24" s="27" t="n"/>
      <c r="J24" s="32" t="n"/>
      <c r="K24" s="12" t="n"/>
      <c r="L24" s="12" t="n"/>
      <c r="M24" s="14" t="n"/>
      <c r="O24" s="4" t="n"/>
      <c r="R24" s="106">
        <f>IFERROR(VLOOKUP(INT($I$6)*100+14,METEO_SADM!$A$1:$L$505,5,FALSE),"s/d")</f>
        <v/>
      </c>
      <c r="S24" s="106">
        <f>IFERROR(VLOOKUP(INT($I$6)*100+14,METEO_SADM!$A$1:$L$505,6,FALSE),"s/d")</f>
        <v/>
      </c>
      <c r="T24" s="106">
        <f>IFERROR(VLOOKUP(INT($I$6)*100+14,METEO_SADM!$A$1:$L$505,7,FALSE),"s/d")</f>
        <v/>
      </c>
      <c r="U24" s="106">
        <f>IFERROR(VLOOKUP(INT($I$6)*100+14,METEO_SADM!$A$1:$L$505,8,FALSE),"s/d")</f>
        <v/>
      </c>
      <c r="V24" s="107">
        <f>IFERROR(VLOOKUP(INT($I$6)*100+14,METEO_SADM!$A$1:$L$505,9,FALSE),"s/d")</f>
        <v/>
      </c>
    </row>
    <row r="25" ht="19.5" customFormat="1" customHeight="1" s="3">
      <c r="A25" s="1" t="n"/>
      <c r="B25" s="11" t="inlineStr">
        <is>
          <t>15 a 16</t>
        </is>
      </c>
      <c r="C25" s="12" t="n">
        <v>1</v>
      </c>
      <c r="D25" s="12" t="n"/>
      <c r="E25" s="12" t="n">
        <v>19</v>
      </c>
      <c r="F25" s="12" t="n">
        <v>10</v>
      </c>
      <c r="G25" s="12" t="n"/>
      <c r="H25" s="13">
        <f>SUM(C25:G25)</f>
        <v/>
      </c>
      <c r="I25" s="27" t="n"/>
      <c r="J25" s="32" t="n"/>
      <c r="K25" s="12" t="n">
        <v>1</v>
      </c>
      <c r="L25" s="12" t="n"/>
      <c r="M25" s="14" t="n"/>
      <c r="O25" s="4" t="n"/>
      <c r="R25" s="104">
        <f>IFERROR(VLOOKUP(INT($I$6)*100+15,METEO_SADM!$A$1:$L$505,5,FALSE),"s/d")</f>
        <v/>
      </c>
      <c r="S25" s="104">
        <f>IFERROR(VLOOKUP(INT($I$6)*100+15,METEO_SADM!$A$1:$L$505,6,FALSE),"s/d")</f>
        <v/>
      </c>
      <c r="T25" s="104">
        <f>IFERROR(VLOOKUP(INT($I$6)*100+15,METEO_SADM!$A$1:$L$505,7,FALSE),"s/d")</f>
        <v/>
      </c>
      <c r="U25" s="104">
        <f>IFERROR(VLOOKUP(INT($I$6)*100+15,METEO_SADM!$A$1:$L$505,8,FALSE),"s/d")</f>
        <v/>
      </c>
      <c r="V25" s="105">
        <f>IFERROR(VLOOKUP(INT($I$6)*100+15,METEO_SADM!$A$1:$L$505,9,FALSE),"s/d")</f>
        <v/>
      </c>
    </row>
    <row r="26" ht="19.5" customFormat="1" customHeight="1" s="3">
      <c r="A26" s="1" t="n"/>
      <c r="B26" s="11" t="inlineStr">
        <is>
          <t>16 a 17</t>
        </is>
      </c>
      <c r="C26" s="12" t="n">
        <v>1</v>
      </c>
      <c r="D26" s="12" t="n"/>
      <c r="E26" s="12" t="n">
        <v>20</v>
      </c>
      <c r="F26" s="12" t="n">
        <v>20</v>
      </c>
      <c r="G26" s="12" t="n"/>
      <c r="H26" s="13">
        <f>SUM(C26:G26)</f>
        <v/>
      </c>
      <c r="I26" s="27" t="n"/>
      <c r="J26" s="32" t="n"/>
      <c r="K26" s="12" t="n">
        <v>1</v>
      </c>
      <c r="L26" s="12" t="n"/>
      <c r="M26" s="14" t="n"/>
      <c r="O26" s="4" t="n"/>
      <c r="R26" s="104">
        <f>IFERROR(VLOOKUP(INT($I$6)*100+16,METEO_SADM!$A$1:$L$505,5,FALSE),"s/d")</f>
        <v/>
      </c>
      <c r="S26" s="104">
        <f>IFERROR(VLOOKUP(INT($I$6)*100+16,METEO_SADM!$A$1:$L$505,6,FALSE),"s/d")</f>
        <v/>
      </c>
      <c r="T26" s="104">
        <f>IFERROR(VLOOKUP(INT($I$6)*100+16,METEO_SADM!$A$1:$L$505,7,FALSE),"s/d")</f>
        <v/>
      </c>
      <c r="U26" s="104">
        <f>IFERROR(VLOOKUP(INT($I$6)*100+16,METEO_SADM!$A$1:$L$505,8,FALSE),"s/d")</f>
        <v/>
      </c>
      <c r="V26" s="105">
        <f>IFERROR(VLOOKUP(INT($I$6)*100+16,METEO_SADM!$A$1:$L$505,9,FALSE),"s/d")</f>
        <v/>
      </c>
    </row>
    <row r="27" ht="19.5" customFormat="1" customHeight="1" s="3">
      <c r="A27" s="1" t="n"/>
      <c r="B27" s="11" t="inlineStr">
        <is>
          <t>17 a 18</t>
        </is>
      </c>
      <c r="C27" s="12" t="n">
        <v>1</v>
      </c>
      <c r="D27" s="12" t="n"/>
      <c r="E27" s="12" t="n">
        <v>29</v>
      </c>
      <c r="F27" s="12" t="n">
        <v>12</v>
      </c>
      <c r="G27" s="12" t="n"/>
      <c r="H27" s="13">
        <f>SUM(C27:G27)</f>
        <v/>
      </c>
      <c r="I27" s="27" t="n"/>
      <c r="J27" s="32" t="n"/>
      <c r="K27" s="12" t="n">
        <v>1</v>
      </c>
      <c r="L27" s="12" t="n"/>
      <c r="M27" s="14" t="n"/>
      <c r="O27" s="4" t="n"/>
      <c r="R27" s="104">
        <f>IFERROR(VLOOKUP(INT($I$6)*100+17,METEO_SADM!$A$1:$L$505,5,FALSE),"s/d")</f>
        <v/>
      </c>
      <c r="S27" s="104">
        <f>IFERROR(VLOOKUP(INT($I$6)*100+17,METEO_SADM!$A$1:$L$505,6,FALSE),"s/d")</f>
        <v/>
      </c>
      <c r="T27" s="104">
        <f>IFERROR(VLOOKUP(INT($I$6)*100+17,METEO_SADM!$A$1:$L$505,7,FALSE),"s/d")</f>
        <v/>
      </c>
      <c r="U27" s="104">
        <f>IFERROR(VLOOKUP(INT($I$6)*100+17,METEO_SADM!$A$1:$L$505,8,FALSE),"s/d")</f>
        <v/>
      </c>
      <c r="V27" s="105">
        <f>IFERROR(VLOOKUP(INT($I$6)*100+17,METEO_SADM!$A$1:$L$505,9,FALSE),"s/d")</f>
        <v/>
      </c>
    </row>
    <row r="28" ht="19.5" customFormat="1" customHeight="1" s="3">
      <c r="A28" s="1" t="n"/>
      <c r="B28" s="11" t="inlineStr">
        <is>
          <t>18 a 19</t>
        </is>
      </c>
      <c r="C28" s="12" t="n">
        <v>2</v>
      </c>
      <c r="D28" s="12" t="n"/>
      <c r="E28" s="12" t="n">
        <v>24</v>
      </c>
      <c r="F28" s="12" t="n">
        <v>18</v>
      </c>
      <c r="G28" s="12" t="n"/>
      <c r="H28" s="13">
        <f>SUM(C28:G28)</f>
        <v/>
      </c>
      <c r="I28" s="27" t="n"/>
      <c r="J28" s="32" t="n"/>
      <c r="K28" s="12" t="n">
        <v>1</v>
      </c>
      <c r="L28" s="12" t="n"/>
      <c r="M28" s="14" t="n"/>
      <c r="O28" s="4" t="n"/>
      <c r="R28" s="104">
        <f>IFERROR(VLOOKUP(INT($I$6)*100+18,METEO_SADM!$A$1:$L$505,5,FALSE),"s/d")</f>
        <v/>
      </c>
      <c r="S28" s="104">
        <f>IFERROR(VLOOKUP(INT($I$6)*100+18,METEO_SADM!$A$1:$L$505,6,FALSE),"s/d")</f>
        <v/>
      </c>
      <c r="T28" s="104">
        <f>IFERROR(VLOOKUP(INT($I$6)*100+18,METEO_SADM!$A$1:$L$505,7,FALSE),"s/d")</f>
        <v/>
      </c>
      <c r="U28" s="104">
        <f>IFERROR(VLOOKUP(INT($I$6)*100+18,METEO_SADM!$A$1:$L$505,8,FALSE),"s/d")</f>
        <v/>
      </c>
      <c r="V28" s="105">
        <f>IFERROR(VLOOKUP(INT($I$6)*100+18,METEO_SADM!$A$1:$L$505,9,FALSE),"s/d")</f>
        <v/>
      </c>
    </row>
    <row r="29" ht="19.5" customFormat="1" customHeight="1" s="3">
      <c r="A29" s="1" t="n"/>
      <c r="B29" s="11" t="inlineStr">
        <is>
          <t xml:space="preserve">19 a 20 </t>
        </is>
      </c>
      <c r="C29" s="12" t="n">
        <v>1</v>
      </c>
      <c r="D29" s="12" t="n"/>
      <c r="E29" s="12" t="n">
        <v>24</v>
      </c>
      <c r="F29" s="12" t="n">
        <v>10</v>
      </c>
      <c r="G29" s="12" t="n"/>
      <c r="H29" s="13">
        <f>SUM(C29:G29)</f>
        <v/>
      </c>
      <c r="I29" s="27" t="n"/>
      <c r="J29" s="32" t="n"/>
      <c r="K29" s="12" t="n">
        <v>1</v>
      </c>
      <c r="L29" s="12" t="n"/>
      <c r="M29" s="14" t="n"/>
      <c r="O29" s="4" t="n"/>
      <c r="R29" s="104">
        <f>IFERROR(VLOOKUP(INT($I$6)*100+19,METEO_SADM!$A$1:$L$505,5,FALSE),"s/d")</f>
        <v/>
      </c>
      <c r="S29" s="104">
        <f>IFERROR(VLOOKUP(INT($I$6)*100+19,METEO_SADM!$A$1:$L$505,6,FALSE),"s/d")</f>
        <v/>
      </c>
      <c r="T29" s="104">
        <f>IFERROR(VLOOKUP(INT($I$6)*100+19,METEO_SADM!$A$1:$L$505,7,FALSE),"s/d")</f>
        <v/>
      </c>
      <c r="U29" s="104">
        <f>IFERROR(VLOOKUP(INT($I$6)*100+19,METEO_SADM!$A$1:$L$505,8,FALSE),"s/d")</f>
        <v/>
      </c>
      <c r="V29" s="105">
        <f>IFERROR(VLOOKUP(INT($I$6)*100+19,METEO_SADM!$A$1:$L$505,9,FALSE),"s/d")</f>
        <v/>
      </c>
    </row>
    <row r="30" ht="19.5" customFormat="1" customHeight="1" s="3">
      <c r="A30" s="1" t="n"/>
      <c r="B30" s="11" t="inlineStr">
        <is>
          <t>20 a 21</t>
        </is>
      </c>
      <c r="C30" s="12" t="n">
        <v>1</v>
      </c>
      <c r="D30" s="12" t="n"/>
      <c r="E30" s="12" t="n">
        <v>19</v>
      </c>
      <c r="F30" s="12" t="n">
        <v>4</v>
      </c>
      <c r="G30" s="12" t="n"/>
      <c r="H30" s="13">
        <f>SUM(C30:G30)</f>
        <v/>
      </c>
      <c r="I30" s="27" t="n"/>
      <c r="J30" s="32" t="n"/>
      <c r="K30" s="12" t="n">
        <v>1</v>
      </c>
      <c r="L30" s="12" t="n"/>
      <c r="M30" s="14" t="n"/>
      <c r="O30" s="4" t="n"/>
      <c r="R30" s="104">
        <f>IFERROR(VLOOKUP(INT($I$6)*100+20,METEO_SADM!$A$1:$L$505,5,FALSE),"s/d")</f>
        <v/>
      </c>
      <c r="S30" s="104">
        <f>IFERROR(VLOOKUP(INT($I$6)*100+20,METEO_SADM!$A$1:$L$505,6,FALSE),"s/d")</f>
        <v/>
      </c>
      <c r="T30" s="104">
        <f>IFERROR(VLOOKUP(INT($I$6)*100+20,METEO_SADM!$A$1:$L$505,7,FALSE),"s/d")</f>
        <v/>
      </c>
      <c r="U30" s="104">
        <f>IFERROR(VLOOKUP(INT($I$6)*100+20,METEO_SADM!$A$1:$L$505,8,FALSE),"s/d")</f>
        <v/>
      </c>
      <c r="V30" s="105">
        <f>IFERROR(VLOOKUP(INT($I$6)*100+20,METEO_SADM!$A$1:$L$505,9,FALSE),"s/d")</f>
        <v/>
      </c>
    </row>
    <row r="31" ht="19.5" customFormat="1" customHeight="1" s="3">
      <c r="A31" s="1" t="n"/>
      <c r="B31" s="11" t="inlineStr">
        <is>
          <t xml:space="preserve">21 a 22 </t>
        </is>
      </c>
      <c r="C31" s="12" t="n"/>
      <c r="D31" s="12" t="n"/>
      <c r="E31" s="12" t="n">
        <v>7</v>
      </c>
      <c r="F31" s="12" t="n">
        <v>8</v>
      </c>
      <c r="G31" s="12" t="n"/>
      <c r="H31" s="13">
        <f>SUM(C31:G31)</f>
        <v/>
      </c>
      <c r="I31" s="27" t="n"/>
      <c r="J31" s="32" t="n"/>
      <c r="K31" s="12" t="n">
        <v>1</v>
      </c>
      <c r="L31" s="12" t="n"/>
      <c r="M31" s="14" t="n"/>
      <c r="O31" s="4" t="n"/>
      <c r="R31" s="104">
        <f>IFERROR(VLOOKUP(INT($I$6)*100+21,METEO_SADM!$A$1:$L$505,5,FALSE),"s/d")</f>
        <v/>
      </c>
      <c r="S31" s="104">
        <f>IFERROR(VLOOKUP(INT($I$6)*100+21,METEO_SADM!$A$1:$L$505,6,FALSE),"s/d")</f>
        <v/>
      </c>
      <c r="T31" s="104">
        <f>IFERROR(VLOOKUP(INT($I$6)*100+21,METEO_SADM!$A$1:$L$505,7,FALSE),"s/d")</f>
        <v/>
      </c>
      <c r="U31" s="104">
        <f>IFERROR(VLOOKUP(INT($I$6)*100+21,METEO_SADM!$A$1:$L$505,8,FALSE),"s/d")</f>
        <v/>
      </c>
      <c r="V31" s="105">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04">
        <f>IFERROR(VLOOKUP(INT($I$6)*100+22,METEO_SADM!$A$1:$L$505,5,FALSE),"s/d")</f>
        <v/>
      </c>
      <c r="S32" s="104">
        <f>IFERROR(VLOOKUP(INT($I$6)*100+22,METEO_SADM!$A$1:$L$505,6,FALSE),"s/d")</f>
        <v/>
      </c>
      <c r="T32" s="104">
        <f>IFERROR(VLOOKUP(INT($I$6)*100+22,METEO_SADM!$A$1:$L$505,7,FALSE),"s/d")</f>
        <v/>
      </c>
      <c r="U32" s="104">
        <f>IFERROR(VLOOKUP(INT($I$6)*100+22,METEO_SADM!$A$1:$L$505,8,FALSE),"s/d")</f>
        <v/>
      </c>
      <c r="V32" s="105">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04">
        <f>IFERROR(VLOOKUP(INT($I$6)*100+23,METEO_SADM!$A$1:$L$505,5,FALSE),"s/d")</f>
        <v/>
      </c>
      <c r="S33" s="104">
        <f>IFERROR(VLOOKUP(INT($I$6)*100+23,METEO_SADM!$A$1:$L$505,6,FALSE),"s/d")</f>
        <v/>
      </c>
      <c r="T33" s="104">
        <f>IFERROR(VLOOKUP(INT($I$6)*100+23,METEO_SADM!$A$1:$L$505,7,FALSE),"s/d")</f>
        <v/>
      </c>
      <c r="U33" s="104">
        <f>IFERROR(VLOOKUP(INT($I$6)*100+23,METEO_SADM!$A$1:$L$505,8,FALSE),"s/d")</f>
        <v/>
      </c>
      <c r="V33" s="105">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46255</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04">
        <f>IFERROR(VLOOKUP(INT($I$6)*100+0,METEO_SADM!$A$1:$L$505,5,FALSE),"s/d")</f>
        <v/>
      </c>
      <c r="S10" s="104">
        <f>IFERROR(VLOOKUP(INT($I$6)*100+0,METEO_SADM!$A$1:$L$505,6,FALSE),"s/d")</f>
        <v/>
      </c>
      <c r="T10" s="104">
        <f>IFERROR(VLOOKUP(INT($I$6)*100+0,METEO_SADM!$A$1:$L$505,7,FALSE),"s/d")</f>
        <v/>
      </c>
      <c r="U10" s="104">
        <f>IFERROR(VLOOKUP(INT($I$6)*100+0,METEO_SADM!$A$1:$L$505,8,FALSE),"s/d")</f>
        <v/>
      </c>
      <c r="V10" s="105">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04">
        <f>IFERROR(VLOOKUP(INT($I$6)*100+1,METEO_SADM!$A$1:$L$505,5,FALSE),"s/d")</f>
        <v/>
      </c>
      <c r="S11" s="104">
        <f>IFERROR(VLOOKUP(INT($I$6)*100+1,METEO_SADM!$A$1:$L$505,6,FALSE),"s/d")</f>
        <v/>
      </c>
      <c r="T11" s="104">
        <f>IFERROR(VLOOKUP(INT($I$6)*100+1,METEO_SADM!$A$1:$L$505,7,FALSE),"s/d")</f>
        <v/>
      </c>
      <c r="U11" s="104">
        <f>IFERROR(VLOOKUP(INT($I$6)*100+1,METEO_SADM!$A$1:$L$505,8,FALSE),"s/d")</f>
        <v/>
      </c>
      <c r="V11" s="105">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04">
        <f>IFERROR(VLOOKUP(INT($I$6)*100+2,METEO_SADM!$A$1:$L$505,5,FALSE),"s/d")</f>
        <v/>
      </c>
      <c r="S12" s="104">
        <f>IFERROR(VLOOKUP(INT($I$6)*100+2,METEO_SADM!$A$1:$L$505,6,FALSE),"s/d")</f>
        <v/>
      </c>
      <c r="T12" s="104">
        <f>IFERROR(VLOOKUP(INT($I$6)*100+2,METEO_SADM!$A$1:$L$505,7,FALSE),"s/d")</f>
        <v/>
      </c>
      <c r="U12" s="104">
        <f>IFERROR(VLOOKUP(INT($I$6)*100+2,METEO_SADM!$A$1:$L$505,8,FALSE),"s/d")</f>
        <v/>
      </c>
      <c r="V12" s="105">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04">
        <f>IFERROR(VLOOKUP(INT($I$6)*100+3,METEO_SADM!$A$1:$L$505,5,FALSE),"s/d")</f>
        <v/>
      </c>
      <c r="S13" s="104">
        <f>IFERROR(VLOOKUP(INT($I$6)*100+3,METEO_SADM!$A$1:$L$505,6,FALSE),"s/d")</f>
        <v/>
      </c>
      <c r="T13" s="104">
        <f>IFERROR(VLOOKUP(INT($I$6)*100+3,METEO_SADM!$A$1:$L$505,7,FALSE),"s/d")</f>
        <v/>
      </c>
      <c r="U13" s="104">
        <f>IFERROR(VLOOKUP(INT($I$6)*100+3,METEO_SADM!$A$1:$L$505,8,FALSE),"s/d")</f>
        <v/>
      </c>
      <c r="V13" s="105">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04">
        <f>IFERROR(VLOOKUP(INT($I$6)*100+4,METEO_SADM!$A$1:$L$505,5,FALSE),"s/d")</f>
        <v/>
      </c>
      <c r="S14" s="104">
        <f>IFERROR(VLOOKUP(INT($I$6)*100+4,METEO_SADM!$A$1:$L$505,6,FALSE),"s/d")</f>
        <v/>
      </c>
      <c r="T14" s="104">
        <f>IFERROR(VLOOKUP(INT($I$6)*100+4,METEO_SADM!$A$1:$L$505,7,FALSE),"s/d")</f>
        <v/>
      </c>
      <c r="U14" s="104">
        <f>IFERROR(VLOOKUP(INT($I$6)*100+4,METEO_SADM!$A$1:$L$505,8,FALSE),"s/d")</f>
        <v/>
      </c>
      <c r="V14" s="105">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04">
        <f>IFERROR(VLOOKUP(INT($I$6)*100+5,METEO_SADM!$A$1:$L$505,5,FALSE),"s/d")</f>
        <v/>
      </c>
      <c r="S15" s="104">
        <f>IFERROR(VLOOKUP(INT($I$6)*100+5,METEO_SADM!$A$1:$L$505,6,FALSE),"s/d")</f>
        <v/>
      </c>
      <c r="T15" s="104">
        <f>IFERROR(VLOOKUP(INT($I$6)*100+5,METEO_SADM!$A$1:$L$505,7,FALSE),"s/d")</f>
        <v/>
      </c>
      <c r="U15" s="104">
        <f>IFERROR(VLOOKUP(INT($I$6)*100+5,METEO_SADM!$A$1:$L$505,8,FALSE),"s/d")</f>
        <v/>
      </c>
      <c r="V15" s="105">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04">
        <f>IFERROR(VLOOKUP(INT($I$6)*100+6,METEO_SADM!$A$1:$L$505,5,FALSE),"s/d")</f>
        <v/>
      </c>
      <c r="S16" s="104">
        <f>IFERROR(VLOOKUP(INT($I$6)*100+6,METEO_SADM!$A$1:$L$505,6,FALSE),"s/d")</f>
        <v/>
      </c>
      <c r="T16" s="104">
        <f>IFERROR(VLOOKUP(INT($I$6)*100+6,METEO_SADM!$A$1:$L$505,7,FALSE),"s/d")</f>
        <v/>
      </c>
      <c r="U16" s="104">
        <f>IFERROR(VLOOKUP(INT($I$6)*100+6,METEO_SADM!$A$1:$L$505,8,FALSE),"s/d")</f>
        <v/>
      </c>
      <c r="V16" s="105">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04">
        <f>IFERROR(VLOOKUP(INT($I$6)*100+7,METEO_SADM!$A$1:$L$505,5,FALSE),"s/d")</f>
        <v/>
      </c>
      <c r="S17" s="104">
        <f>IFERROR(VLOOKUP(INT($I$6)*100+7,METEO_SADM!$A$1:$L$505,6,FALSE),"s/d")</f>
        <v/>
      </c>
      <c r="T17" s="104">
        <f>IFERROR(VLOOKUP(INT($I$6)*100+7,METEO_SADM!$A$1:$L$505,7,FALSE),"s/d")</f>
        <v/>
      </c>
      <c r="U17" s="104">
        <f>IFERROR(VLOOKUP(INT($I$6)*100+7,METEO_SADM!$A$1:$L$505,8,FALSE),"s/d")</f>
        <v/>
      </c>
      <c r="V17" s="105">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04">
        <f>IFERROR(VLOOKUP(INT($I$6)*100+8,METEO_SADM!$A$1:$L$505,5,FALSE),"s/d")</f>
        <v/>
      </c>
      <c r="S18" s="104">
        <f>IFERROR(VLOOKUP(INT($I$6)*100+8,METEO_SADM!$A$1:$L$505,6,FALSE),"s/d")</f>
        <v/>
      </c>
      <c r="T18" s="104">
        <f>IFERROR(VLOOKUP(INT($I$6)*100+8,METEO_SADM!$A$1:$L$505,7,FALSE),"s/d")</f>
        <v/>
      </c>
      <c r="U18" s="104">
        <f>IFERROR(VLOOKUP(INT($I$6)*100+8,METEO_SADM!$A$1:$L$505,8,FALSE),"s/d")</f>
        <v/>
      </c>
      <c r="V18" s="105">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04">
        <f>IFERROR(VLOOKUP(INT($I$6)*100+9,METEO_SADM!$A$1:$L$505,5,FALSE),"s/d")</f>
        <v/>
      </c>
      <c r="S19" s="104">
        <f>IFERROR(VLOOKUP(INT($I$6)*100+9,METEO_SADM!$A$1:$L$505,6,FALSE),"s/d")</f>
        <v/>
      </c>
      <c r="T19" s="104">
        <f>IFERROR(VLOOKUP(INT($I$6)*100+9,METEO_SADM!$A$1:$L$505,7,FALSE),"s/d")</f>
        <v/>
      </c>
      <c r="U19" s="104">
        <f>IFERROR(VLOOKUP(INT($I$6)*100+9,METEO_SADM!$A$1:$L$505,8,FALSE),"s/d")</f>
        <v/>
      </c>
      <c r="V19" s="105">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04">
        <f>IFERROR(VLOOKUP(INT($I$6)*100+10,METEO_SADM!$A$1:$L$505,5,FALSE),"s/d")</f>
        <v/>
      </c>
      <c r="S20" s="104">
        <f>IFERROR(VLOOKUP(INT($I$6)*100+10,METEO_SADM!$A$1:$L$505,6,FALSE),"s/d")</f>
        <v/>
      </c>
      <c r="T20" s="104">
        <f>IFERROR(VLOOKUP(INT($I$6)*100+10,METEO_SADM!$A$1:$L$505,7,FALSE),"s/d")</f>
        <v/>
      </c>
      <c r="U20" s="104">
        <f>IFERROR(VLOOKUP(INT($I$6)*100+10,METEO_SADM!$A$1:$L$505,8,FALSE),"s/d")</f>
        <v/>
      </c>
      <c r="V20" s="105">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9.140625" defaultRowHeight="15"/>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9.140625" defaultRowHeight="15"/>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9.140625" defaultRowHeight="15"/>
  <sheetData/>
  <pageMargins left="0.7" right="0.7" top="0.75" bottom="0.75" header="0.3" footer="0.3"/>
</worksheet>
</file>

<file path=xl/worksheets/sheet26.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46256</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46196</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28.xml><?xml version="1.0" encoding="utf-8"?>
<worksheet xmlns="http://schemas.openxmlformats.org/spreadsheetml/2006/main">
  <sheetPr>
    <outlinePr summaryBelow="1" summaryRight="1"/>
    <pageSetUpPr/>
  </sheetPr>
  <dimension ref="A1:A1"/>
  <sheetViews>
    <sheetView zoomScaleNormal="60" zoomScaleSheetLayoutView="100" workbookViewId="0">
      <selection activeCell="A1" sqref="A1"/>
    </sheetView>
  </sheetViews>
  <sheetFormatPr baseColWidth="10" defaultColWidth="9.140625" defaultRowHeight="15"/>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1"/>
  <sheetViews>
    <sheetView zoomScaleNormal="60" zoomScaleSheetLayoutView="100" workbookViewId="0">
      <selection activeCell="A1" sqref="A1"/>
    </sheetView>
  </sheetViews>
  <sheetFormatPr baseColWidth="10" defaultColWidth="9.140625" defaultRowHeight="15"/>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1"/>
  <sheetViews>
    <sheetView zoomScaleNormal="60" zoomScaleSheetLayoutView="100" workbookViewId="0">
      <selection activeCell="A1" sqref="A1"/>
    </sheetView>
  </sheetViews>
  <sheetFormatPr baseColWidth="10" defaultColWidth="9.140625" defaultRowHeight="15"/>
  <sheetData/>
  <pageMargins left="0.7" right="0.7" top="0.75" bottom="0.75" header="0.3" footer="0.3"/>
</worksheet>
</file>

<file path=xl/worksheets/sheet31.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46258</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46259</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3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3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3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3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3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3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3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3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3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3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3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3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46260</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46261</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46262</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9" t="n"/>
      <c r="E33" s="19" t="n"/>
      <c r="F33" s="19" t="n"/>
      <c r="G33" s="19"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46263</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2" t="n"/>
      <c r="E33" s="12" t="n"/>
      <c r="F33" s="12" t="n"/>
      <c r="G33" s="12"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3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11.42578125" defaultRowHeight="15"/>
  <sheetData/>
  <pageMargins left="0.7" right="0.7" top="0.75" bottom="0.75" header="0.3" footer="0.3"/>
</worksheet>
</file>

<file path=xl/worksheets/sheet38.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46264</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n"/>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9" t="n"/>
      <c r="E33" s="12" t="n"/>
      <c r="F33" s="19" t="n"/>
      <c r="G33" s="19"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3:V44"/>
  <sheetViews>
    <sheetView showGridLines="0" zoomScaleNormal="100" workbookViewId="0">
      <selection activeCell="I10" sqref="I10"/>
    </sheetView>
  </sheetViews>
  <sheetFormatPr baseColWidth="10" defaultColWidth="0" defaultRowHeight="15"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3"/>
    <col width="1" customWidth="1" style="1" min="14" max="14"/>
    <col hidden="1" width="11.42578125" customWidth="1" style="2" min="15" max="15"/>
    <col hidden="1" width="10.28515625" customWidth="1" style="1" min="16" max="16"/>
    <col hidden="1" width="11.42578125" customWidth="1" style="1" min="17" max="16384"/>
    <col width="13" customWidth="1" min="18" max="18"/>
    <col width="9" customWidth="1" min="19" max="19"/>
    <col width="11" customWidth="1" min="20" max="20"/>
    <col width="8" customWidth="1" min="21" max="21"/>
    <col width="62" customWidth="1" min="22" max="22"/>
  </cols>
  <sheetData>
    <row r="2" ht="27" customHeight="1" thickBot="1"/>
    <row r="3" ht="27.75"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DIARIA</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66" t="inlineStr">
        <is>
          <t>TORRE MORON</t>
        </is>
      </c>
      <c r="E6" s="93" t="n"/>
      <c r="F6" s="93" t="n"/>
      <c r="G6" s="7" t="n"/>
      <c r="H6" s="10" t="inlineStr">
        <is>
          <t>FECHA:</t>
        </is>
      </c>
      <c r="I6" s="66" t="n">
        <v>46265</v>
      </c>
      <c r="J6" s="93" t="n"/>
      <c r="K6" s="93" t="n"/>
      <c r="L6" s="7" t="n"/>
      <c r="M6" s="8" t="n"/>
    </row>
    <row r="7">
      <c r="B7" s="6" t="n"/>
      <c r="C7" s="7" t="n"/>
      <c r="D7" s="7" t="n"/>
      <c r="E7" s="7" t="n"/>
      <c r="F7" s="7" t="n"/>
      <c r="G7" s="7" t="n"/>
      <c r="H7" s="7" t="n"/>
      <c r="I7" s="7" t="n"/>
      <c r="J7" s="7" t="n"/>
      <c r="K7" s="7" t="n"/>
      <c r="L7" s="7" t="n"/>
      <c r="M7" s="8" t="n"/>
    </row>
    <row r="8">
      <c r="B8" s="94" t="inlineStr">
        <is>
          <t>FRANJA HORARIA UTC</t>
        </is>
      </c>
      <c r="C8" s="74" t="inlineStr">
        <is>
          <t>COMERCIAL</t>
        </is>
      </c>
      <c r="D8" s="74" t="inlineStr">
        <is>
          <t>OFICIAL</t>
        </is>
      </c>
      <c r="E8" s="74" t="inlineStr">
        <is>
          <t>OTROS</t>
        </is>
      </c>
      <c r="F8" s="74" t="inlineStr">
        <is>
          <t>LOCAL</t>
        </is>
      </c>
      <c r="G8" s="74" t="inlineStr">
        <is>
          <t>SOBREVUELO</t>
        </is>
      </c>
      <c r="H8" s="95" t="inlineStr">
        <is>
          <t>TOTAL MOVIMIENTOS</t>
        </is>
      </c>
      <c r="I8" s="96" t="inlineStr">
        <is>
          <t>IFR</t>
        </is>
      </c>
      <c r="J8" s="73" t="inlineStr">
        <is>
          <t>PISTA</t>
        </is>
      </c>
      <c r="K8" s="97" t="n"/>
      <c r="L8" s="97" t="n"/>
      <c r="M8" s="98" t="n"/>
      <c r="R8" s="99" t="inlineStr">
        <is>
          <t>CONDICION METEOROLOGICA DEL AERODROMO (SADM)</t>
        </is>
      </c>
    </row>
    <row r="9">
      <c r="B9" s="100" t="n"/>
      <c r="C9" s="101" t="n"/>
      <c r="D9" s="101" t="n"/>
      <c r="E9" s="101" t="n"/>
      <c r="F9" s="101" t="n"/>
      <c r="G9" s="101" t="n"/>
      <c r="H9" s="101" t="n"/>
      <c r="I9" s="102" t="n"/>
      <c r="J9" s="31" t="n">
        <v>2</v>
      </c>
      <c r="K9" s="25" t="n">
        <v>20</v>
      </c>
      <c r="L9" s="25" t="n"/>
      <c r="M9" s="26" t="n"/>
      <c r="R9" s="103" t="inlineStr">
        <is>
          <t>CONDICION</t>
        </is>
      </c>
      <c r="S9" s="103" t="inlineStr">
        <is>
          <t>VIS (m)</t>
        </is>
      </c>
      <c r="T9" s="103" t="inlineStr">
        <is>
          <t>TECHO (ft)</t>
        </is>
      </c>
      <c r="U9" s="103" t="inlineStr">
        <is>
          <t>SPECI</t>
        </is>
      </c>
      <c r="V9" s="103" t="inlineStr">
        <is>
          <t>METAR OBSERVADO</t>
        </is>
      </c>
    </row>
    <row r="10" ht="19.5" customFormat="1" customHeight="1" s="3">
      <c r="A10" s="1" t="n"/>
      <c r="B10" s="11" t="inlineStr">
        <is>
          <t>00 a 01</t>
        </is>
      </c>
      <c r="C10" s="12" t="n"/>
      <c r="D10" s="12" t="n"/>
      <c r="E10" s="12" t="n"/>
      <c r="F10" s="12" t="n"/>
      <c r="G10" s="12" t="n"/>
      <c r="H10" s="13">
        <f>SUM(C10:G10)</f>
        <v/>
      </c>
      <c r="I10" s="27" t="n"/>
      <c r="J10" s="32" t="n"/>
      <c r="K10" s="12" t="n"/>
      <c r="L10" s="12" t="n"/>
      <c r="M10" s="14" t="n"/>
      <c r="O10" s="4" t="n"/>
      <c r="R10" s="118">
        <f>IFERROR(VLOOKUP(INT($I$6)*100+0,METEO_SADM!$A$1:$L$505,5,FALSE),"s/d")</f>
        <v/>
      </c>
      <c r="S10" s="118">
        <f>IFERROR(VLOOKUP(INT($I$6)*100+0,METEO_SADM!$A$1:$L$505,6,FALSE),"s/d")</f>
        <v/>
      </c>
      <c r="T10" s="118">
        <f>IFERROR(VLOOKUP(INT($I$6)*100+0,METEO_SADM!$A$1:$L$505,7,FALSE),"s/d")</f>
        <v/>
      </c>
      <c r="U10" s="118">
        <f>IFERROR(VLOOKUP(INT($I$6)*100+0,METEO_SADM!$A$1:$L$505,8,FALSE),"s/d")</f>
        <v/>
      </c>
      <c r="V10" s="119">
        <f>IFERROR(VLOOKUP(INT($I$6)*100+0,METEO_SADM!$A$1:$L$505,9,FALSE),"s/d")</f>
        <v/>
      </c>
    </row>
    <row r="11" ht="19.5" customFormat="1" customHeight="1" s="3">
      <c r="A11" s="1" t="n"/>
      <c r="B11" s="11" t="inlineStr">
        <is>
          <t>01 a 02</t>
        </is>
      </c>
      <c r="C11" s="12" t="n"/>
      <c r="D11" s="12" t="n"/>
      <c r="E11" s="12" t="n"/>
      <c r="F11" s="12" t="n"/>
      <c r="G11" s="12" t="n"/>
      <c r="H11" s="13">
        <f>SUM(C11:G11)</f>
        <v/>
      </c>
      <c r="I11" s="27" t="n"/>
      <c r="J11" s="32" t="n"/>
      <c r="K11" s="12" t="n"/>
      <c r="L11" s="12" t="n"/>
      <c r="M11" s="14" t="n"/>
      <c r="O11" s="4" t="n"/>
      <c r="R11" s="118">
        <f>IFERROR(VLOOKUP(INT($I$6)*100+1,METEO_SADM!$A$1:$L$505,5,FALSE),"s/d")</f>
        <v/>
      </c>
      <c r="S11" s="118">
        <f>IFERROR(VLOOKUP(INT($I$6)*100+1,METEO_SADM!$A$1:$L$505,6,FALSE),"s/d")</f>
        <v/>
      </c>
      <c r="T11" s="118">
        <f>IFERROR(VLOOKUP(INT($I$6)*100+1,METEO_SADM!$A$1:$L$505,7,FALSE),"s/d")</f>
        <v/>
      </c>
      <c r="U11" s="118">
        <f>IFERROR(VLOOKUP(INT($I$6)*100+1,METEO_SADM!$A$1:$L$505,8,FALSE),"s/d")</f>
        <v/>
      </c>
      <c r="V11" s="119">
        <f>IFERROR(VLOOKUP(INT($I$6)*100+1,METEO_SADM!$A$1:$L$505,9,FALSE),"s/d")</f>
        <v/>
      </c>
    </row>
    <row r="12" ht="19.5" customFormat="1" customHeight="1" s="3">
      <c r="A12" s="1" t="n"/>
      <c r="B12" s="11" t="inlineStr">
        <is>
          <t>02 a 03</t>
        </is>
      </c>
      <c r="C12" s="12" t="n"/>
      <c r="D12" s="12" t="n"/>
      <c r="E12" s="12" t="n"/>
      <c r="F12" s="12" t="n"/>
      <c r="G12" s="12" t="n"/>
      <c r="H12" s="13">
        <f>SUM(C12:G12)</f>
        <v/>
      </c>
      <c r="I12" s="27" t="n"/>
      <c r="J12" s="32" t="n"/>
      <c r="K12" s="12" t="n"/>
      <c r="L12" s="12" t="n"/>
      <c r="M12" s="14" t="n"/>
      <c r="O12" s="4" t="n"/>
      <c r="R12" s="118">
        <f>IFERROR(VLOOKUP(INT($I$6)*100+2,METEO_SADM!$A$1:$L$505,5,FALSE),"s/d")</f>
        <v/>
      </c>
      <c r="S12" s="118">
        <f>IFERROR(VLOOKUP(INT($I$6)*100+2,METEO_SADM!$A$1:$L$505,6,FALSE),"s/d")</f>
        <v/>
      </c>
      <c r="T12" s="118">
        <f>IFERROR(VLOOKUP(INT($I$6)*100+2,METEO_SADM!$A$1:$L$505,7,FALSE),"s/d")</f>
        <v/>
      </c>
      <c r="U12" s="118">
        <f>IFERROR(VLOOKUP(INT($I$6)*100+2,METEO_SADM!$A$1:$L$505,8,FALSE),"s/d")</f>
        <v/>
      </c>
      <c r="V12" s="119">
        <f>IFERROR(VLOOKUP(INT($I$6)*100+2,METEO_SADM!$A$1:$L$505,9,FALSE),"s/d")</f>
        <v/>
      </c>
    </row>
    <row r="13" ht="19.5" customFormat="1" customHeight="1" s="3">
      <c r="A13" s="1" t="n"/>
      <c r="B13" s="11" t="inlineStr">
        <is>
          <t>03 a 04</t>
        </is>
      </c>
      <c r="C13" s="12" t="n"/>
      <c r="D13" s="12" t="n"/>
      <c r="E13" s="12" t="n"/>
      <c r="F13" s="12" t="n"/>
      <c r="G13" s="12" t="n"/>
      <c r="H13" s="13">
        <f>SUM(C13:G13)</f>
        <v/>
      </c>
      <c r="I13" s="27" t="n"/>
      <c r="J13" s="32" t="n"/>
      <c r="K13" s="12" t="n"/>
      <c r="L13" s="12" t="n"/>
      <c r="M13" s="14" t="n"/>
      <c r="O13" s="4" t="n"/>
      <c r="R13" s="118">
        <f>IFERROR(VLOOKUP(INT($I$6)*100+3,METEO_SADM!$A$1:$L$505,5,FALSE),"s/d")</f>
        <v/>
      </c>
      <c r="S13" s="118">
        <f>IFERROR(VLOOKUP(INT($I$6)*100+3,METEO_SADM!$A$1:$L$505,6,FALSE),"s/d")</f>
        <v/>
      </c>
      <c r="T13" s="118">
        <f>IFERROR(VLOOKUP(INT($I$6)*100+3,METEO_SADM!$A$1:$L$505,7,FALSE),"s/d")</f>
        <v/>
      </c>
      <c r="U13" s="118">
        <f>IFERROR(VLOOKUP(INT($I$6)*100+3,METEO_SADM!$A$1:$L$505,8,FALSE),"s/d")</f>
        <v/>
      </c>
      <c r="V13" s="119">
        <f>IFERROR(VLOOKUP(INT($I$6)*100+3,METEO_SADM!$A$1:$L$505,9,FALSE),"s/d")</f>
        <v/>
      </c>
    </row>
    <row r="14" ht="19.5" customFormat="1" customHeight="1" s="3">
      <c r="A14" s="1" t="n"/>
      <c r="B14" s="11" t="inlineStr">
        <is>
          <t>04 a 05</t>
        </is>
      </c>
      <c r="C14" s="12" t="n"/>
      <c r="D14" s="12" t="n"/>
      <c r="E14" s="12" t="n"/>
      <c r="F14" s="12" t="n"/>
      <c r="G14" s="12" t="n"/>
      <c r="H14" s="13">
        <f>SUM(C14:G14)</f>
        <v/>
      </c>
      <c r="I14" s="27" t="n"/>
      <c r="J14" s="32" t="n"/>
      <c r="K14" s="12" t="n"/>
      <c r="L14" s="12" t="n"/>
      <c r="M14" s="14" t="n"/>
      <c r="O14" s="4" t="n"/>
      <c r="R14" s="118">
        <f>IFERROR(VLOOKUP(INT($I$6)*100+4,METEO_SADM!$A$1:$L$505,5,FALSE),"s/d")</f>
        <v/>
      </c>
      <c r="S14" s="118">
        <f>IFERROR(VLOOKUP(INT($I$6)*100+4,METEO_SADM!$A$1:$L$505,6,FALSE),"s/d")</f>
        <v/>
      </c>
      <c r="T14" s="118">
        <f>IFERROR(VLOOKUP(INT($I$6)*100+4,METEO_SADM!$A$1:$L$505,7,FALSE),"s/d")</f>
        <v/>
      </c>
      <c r="U14" s="118">
        <f>IFERROR(VLOOKUP(INT($I$6)*100+4,METEO_SADM!$A$1:$L$505,8,FALSE),"s/d")</f>
        <v/>
      </c>
      <c r="V14" s="119">
        <f>IFERROR(VLOOKUP(INT($I$6)*100+4,METEO_SADM!$A$1:$L$505,9,FALSE),"s/d")</f>
        <v/>
      </c>
    </row>
    <row r="15" ht="19.5" customFormat="1" customHeight="1" s="3">
      <c r="A15" s="1" t="n"/>
      <c r="B15" s="11" t="inlineStr">
        <is>
          <t>05 a 06</t>
        </is>
      </c>
      <c r="C15" s="12" t="n"/>
      <c r="D15" s="12" t="n"/>
      <c r="E15" s="12" t="n"/>
      <c r="F15" s="12" t="inlineStr">
        <is>
          <t>                   </t>
        </is>
      </c>
      <c r="G15" s="12" t="n"/>
      <c r="H15" s="13">
        <f>SUM(C15:G15)</f>
        <v/>
      </c>
      <c r="I15" s="27" t="n"/>
      <c r="J15" s="32" t="n"/>
      <c r="K15" s="12" t="n"/>
      <c r="L15" s="12" t="n"/>
      <c r="M15" s="14" t="n"/>
      <c r="O15" s="4" t="n"/>
      <c r="R15" s="118">
        <f>IFERROR(VLOOKUP(INT($I$6)*100+5,METEO_SADM!$A$1:$L$505,5,FALSE),"s/d")</f>
        <v/>
      </c>
      <c r="S15" s="118">
        <f>IFERROR(VLOOKUP(INT($I$6)*100+5,METEO_SADM!$A$1:$L$505,6,FALSE),"s/d")</f>
        <v/>
      </c>
      <c r="T15" s="118">
        <f>IFERROR(VLOOKUP(INT($I$6)*100+5,METEO_SADM!$A$1:$L$505,7,FALSE),"s/d")</f>
        <v/>
      </c>
      <c r="U15" s="118">
        <f>IFERROR(VLOOKUP(INT($I$6)*100+5,METEO_SADM!$A$1:$L$505,8,FALSE),"s/d")</f>
        <v/>
      </c>
      <c r="V15" s="119">
        <f>IFERROR(VLOOKUP(INT($I$6)*100+5,METEO_SADM!$A$1:$L$505,9,FALSE),"s/d")</f>
        <v/>
      </c>
    </row>
    <row r="16" ht="19.5" customFormat="1" customHeight="1" s="3">
      <c r="A16" s="1" t="n"/>
      <c r="B16" s="11" t="inlineStr">
        <is>
          <t>06 a 07</t>
        </is>
      </c>
      <c r="C16" s="12" t="n"/>
      <c r="D16" s="12" t="n"/>
      <c r="E16" s="12" t="n"/>
      <c r="F16" s="12" t="n"/>
      <c r="G16" s="12" t="n"/>
      <c r="H16" s="13">
        <f>SUM(C16:G16)</f>
        <v/>
      </c>
      <c r="I16" s="27" t="n"/>
      <c r="J16" s="32" t="n"/>
      <c r="K16" s="12" t="n"/>
      <c r="L16" s="12" t="n"/>
      <c r="M16" s="14" t="n"/>
      <c r="O16" s="4" t="n"/>
      <c r="R16" s="118">
        <f>IFERROR(VLOOKUP(INT($I$6)*100+6,METEO_SADM!$A$1:$L$505,5,FALSE),"s/d")</f>
        <v/>
      </c>
      <c r="S16" s="118">
        <f>IFERROR(VLOOKUP(INT($I$6)*100+6,METEO_SADM!$A$1:$L$505,6,FALSE),"s/d")</f>
        <v/>
      </c>
      <c r="T16" s="118">
        <f>IFERROR(VLOOKUP(INT($I$6)*100+6,METEO_SADM!$A$1:$L$505,7,FALSE),"s/d")</f>
        <v/>
      </c>
      <c r="U16" s="118">
        <f>IFERROR(VLOOKUP(INT($I$6)*100+6,METEO_SADM!$A$1:$L$505,8,FALSE),"s/d")</f>
        <v/>
      </c>
      <c r="V16" s="119">
        <f>IFERROR(VLOOKUP(INT($I$6)*100+6,METEO_SADM!$A$1:$L$505,9,FALSE),"s/d")</f>
        <v/>
      </c>
    </row>
    <row r="17" ht="19.5" customFormat="1" customHeight="1" s="3">
      <c r="A17" s="1" t="n"/>
      <c r="B17" s="11" t="inlineStr">
        <is>
          <t>07 a 08</t>
        </is>
      </c>
      <c r="C17" s="12" t="n"/>
      <c r="D17" s="12" t="n"/>
      <c r="E17" s="12" t="n"/>
      <c r="F17" s="12" t="n"/>
      <c r="G17" s="12" t="n"/>
      <c r="H17" s="13">
        <f>SUM(C17:G17)</f>
        <v/>
      </c>
      <c r="I17" s="27" t="n"/>
      <c r="J17" s="32" t="n"/>
      <c r="K17" s="12" t="n"/>
      <c r="L17" s="12" t="n"/>
      <c r="M17" s="14" t="n"/>
      <c r="O17" s="4" t="n"/>
      <c r="R17" s="118">
        <f>IFERROR(VLOOKUP(INT($I$6)*100+7,METEO_SADM!$A$1:$L$505,5,FALSE),"s/d")</f>
        <v/>
      </c>
      <c r="S17" s="118">
        <f>IFERROR(VLOOKUP(INT($I$6)*100+7,METEO_SADM!$A$1:$L$505,6,FALSE),"s/d")</f>
        <v/>
      </c>
      <c r="T17" s="118">
        <f>IFERROR(VLOOKUP(INT($I$6)*100+7,METEO_SADM!$A$1:$L$505,7,FALSE),"s/d")</f>
        <v/>
      </c>
      <c r="U17" s="118">
        <f>IFERROR(VLOOKUP(INT($I$6)*100+7,METEO_SADM!$A$1:$L$505,8,FALSE),"s/d")</f>
        <v/>
      </c>
      <c r="V17" s="119">
        <f>IFERROR(VLOOKUP(INT($I$6)*100+7,METEO_SADM!$A$1:$L$505,9,FALSE),"s/d")</f>
        <v/>
      </c>
    </row>
    <row r="18" ht="19.5" customFormat="1" customHeight="1" s="3">
      <c r="A18" s="1" t="n"/>
      <c r="B18" s="11" t="inlineStr">
        <is>
          <t>08 a 09</t>
        </is>
      </c>
      <c r="C18" s="12" t="n"/>
      <c r="D18" s="12" t="n"/>
      <c r="E18" s="12" t="n"/>
      <c r="F18" s="12" t="n"/>
      <c r="G18" s="12" t="n"/>
      <c r="H18" s="13">
        <f>SUM(C18:G18)</f>
        <v/>
      </c>
      <c r="I18" s="27" t="n"/>
      <c r="J18" s="32" t="n"/>
      <c r="K18" s="12" t="n"/>
      <c r="L18" s="12" t="n"/>
      <c r="M18" s="14" t="n"/>
      <c r="O18" s="4" t="n"/>
      <c r="R18" s="118">
        <f>IFERROR(VLOOKUP(INT($I$6)*100+8,METEO_SADM!$A$1:$L$505,5,FALSE),"s/d")</f>
        <v/>
      </c>
      <c r="S18" s="118">
        <f>IFERROR(VLOOKUP(INT($I$6)*100+8,METEO_SADM!$A$1:$L$505,6,FALSE),"s/d")</f>
        <v/>
      </c>
      <c r="T18" s="118">
        <f>IFERROR(VLOOKUP(INT($I$6)*100+8,METEO_SADM!$A$1:$L$505,7,FALSE),"s/d")</f>
        <v/>
      </c>
      <c r="U18" s="118">
        <f>IFERROR(VLOOKUP(INT($I$6)*100+8,METEO_SADM!$A$1:$L$505,8,FALSE),"s/d")</f>
        <v/>
      </c>
      <c r="V18" s="119">
        <f>IFERROR(VLOOKUP(INT($I$6)*100+8,METEO_SADM!$A$1:$L$505,9,FALSE),"s/d")</f>
        <v/>
      </c>
    </row>
    <row r="19" ht="19.5" customFormat="1" customHeight="1" s="3">
      <c r="A19" s="1" t="n"/>
      <c r="B19" s="11" t="inlineStr">
        <is>
          <t>09 a 10</t>
        </is>
      </c>
      <c r="C19" s="12" t="n"/>
      <c r="D19" s="12" t="n"/>
      <c r="E19" s="12" t="n"/>
      <c r="F19" s="12" t="n"/>
      <c r="G19" s="12" t="n"/>
      <c r="H19" s="13">
        <f>SUM(C19:G19)</f>
        <v/>
      </c>
      <c r="I19" s="27" t="n"/>
      <c r="J19" s="32" t="n"/>
      <c r="K19" s="12" t="n"/>
      <c r="L19" s="12" t="n"/>
      <c r="M19" s="14" t="n"/>
      <c r="O19" s="4" t="n"/>
      <c r="R19" s="118">
        <f>IFERROR(VLOOKUP(INT($I$6)*100+9,METEO_SADM!$A$1:$L$505,5,FALSE),"s/d")</f>
        <v/>
      </c>
      <c r="S19" s="118">
        <f>IFERROR(VLOOKUP(INT($I$6)*100+9,METEO_SADM!$A$1:$L$505,6,FALSE),"s/d")</f>
        <v/>
      </c>
      <c r="T19" s="118">
        <f>IFERROR(VLOOKUP(INT($I$6)*100+9,METEO_SADM!$A$1:$L$505,7,FALSE),"s/d")</f>
        <v/>
      </c>
      <c r="U19" s="118">
        <f>IFERROR(VLOOKUP(INT($I$6)*100+9,METEO_SADM!$A$1:$L$505,8,FALSE),"s/d")</f>
        <v/>
      </c>
      <c r="V19" s="119">
        <f>IFERROR(VLOOKUP(INT($I$6)*100+9,METEO_SADM!$A$1:$L$505,9,FALSE),"s/d")</f>
        <v/>
      </c>
    </row>
    <row r="20" ht="19.5" customFormat="1" customHeight="1" s="3">
      <c r="A20" s="1" t="n"/>
      <c r="B20" s="11" t="inlineStr">
        <is>
          <t>10 a 11</t>
        </is>
      </c>
      <c r="C20" s="12" t="n"/>
      <c r="D20" s="12" t="n"/>
      <c r="E20" s="12" t="n"/>
      <c r="F20" s="12" t="n"/>
      <c r="G20" s="12" t="n"/>
      <c r="H20" s="13">
        <f>SUM(C20:G20)</f>
        <v/>
      </c>
      <c r="I20" s="27" t="n"/>
      <c r="J20" s="32" t="n"/>
      <c r="K20" s="12" t="n"/>
      <c r="L20" s="12" t="n"/>
      <c r="M20" s="14" t="n"/>
      <c r="O20" s="4" t="n"/>
      <c r="R20" s="118">
        <f>IFERROR(VLOOKUP(INT($I$6)*100+10,METEO_SADM!$A$1:$L$505,5,FALSE),"s/d")</f>
        <v/>
      </c>
      <c r="S20" s="118">
        <f>IFERROR(VLOOKUP(INT($I$6)*100+10,METEO_SADM!$A$1:$L$505,6,FALSE),"s/d")</f>
        <v/>
      </c>
      <c r="T20" s="118">
        <f>IFERROR(VLOOKUP(INT($I$6)*100+10,METEO_SADM!$A$1:$L$505,7,FALSE),"s/d")</f>
        <v/>
      </c>
      <c r="U20" s="118">
        <f>IFERROR(VLOOKUP(INT($I$6)*100+10,METEO_SADM!$A$1:$L$505,8,FALSE),"s/d")</f>
        <v/>
      </c>
      <c r="V20" s="119">
        <f>IFERROR(VLOOKUP(INT($I$6)*100+10,METEO_SADM!$A$1:$L$505,9,FALSE),"s/d")</f>
        <v/>
      </c>
    </row>
    <row r="21" ht="19.5" customFormat="1" customHeight="1" s="3">
      <c r="A21" s="1" t="n"/>
      <c r="B21" s="11" t="inlineStr">
        <is>
          <t>11 a 12</t>
        </is>
      </c>
      <c r="C21" s="12" t="n"/>
      <c r="D21" s="12" t="n"/>
      <c r="E21" s="12" t="n"/>
      <c r="F21" s="12" t="n"/>
      <c r="G21" s="12" t="n"/>
      <c r="H21" s="13">
        <f>SUM(C21:G21)</f>
        <v/>
      </c>
      <c r="I21" s="27" t="n"/>
      <c r="J21" s="32" t="n"/>
      <c r="K21" s="12" t="n"/>
      <c r="L21" s="12" t="n"/>
      <c r="M21" s="14" t="n"/>
      <c r="O21" s="4" t="n"/>
      <c r="R21" s="118">
        <f>IFERROR(VLOOKUP(INT($I$6)*100+11,METEO_SADM!$A$1:$L$505,5,FALSE),"s/d")</f>
        <v/>
      </c>
      <c r="S21" s="118">
        <f>IFERROR(VLOOKUP(INT($I$6)*100+11,METEO_SADM!$A$1:$L$505,6,FALSE),"s/d")</f>
        <v/>
      </c>
      <c r="T21" s="118">
        <f>IFERROR(VLOOKUP(INT($I$6)*100+11,METEO_SADM!$A$1:$L$505,7,FALSE),"s/d")</f>
        <v/>
      </c>
      <c r="U21" s="118">
        <f>IFERROR(VLOOKUP(INT($I$6)*100+11,METEO_SADM!$A$1:$L$505,8,FALSE),"s/d")</f>
        <v/>
      </c>
      <c r="V21" s="119">
        <f>IFERROR(VLOOKUP(INT($I$6)*100+11,METEO_SADM!$A$1:$L$505,9,FALSE),"s/d")</f>
        <v/>
      </c>
    </row>
    <row r="22" ht="19.5" customFormat="1" customHeight="1" s="3">
      <c r="A22" s="1" t="n"/>
      <c r="B22" s="11" t="inlineStr">
        <is>
          <t>12 a 13</t>
        </is>
      </c>
      <c r="C22" s="12" t="n"/>
      <c r="D22" s="12" t="n"/>
      <c r="E22" s="12" t="n"/>
      <c r="F22" s="12" t="n"/>
      <c r="G22" s="12" t="n"/>
      <c r="H22" s="13">
        <f>SUM(C22:G22)</f>
        <v/>
      </c>
      <c r="I22" s="27" t="n"/>
      <c r="J22" s="32" t="n"/>
      <c r="K22" s="12" t="n"/>
      <c r="L22" s="12" t="n"/>
      <c r="M22" s="14" t="n"/>
      <c r="O22" s="4" t="n"/>
      <c r="R22" s="118">
        <f>IFERROR(VLOOKUP(INT($I$6)*100+12,METEO_SADM!$A$1:$L$505,5,FALSE),"s/d")</f>
        <v/>
      </c>
      <c r="S22" s="118">
        <f>IFERROR(VLOOKUP(INT($I$6)*100+12,METEO_SADM!$A$1:$L$505,6,FALSE),"s/d")</f>
        <v/>
      </c>
      <c r="T22" s="118">
        <f>IFERROR(VLOOKUP(INT($I$6)*100+12,METEO_SADM!$A$1:$L$505,7,FALSE),"s/d")</f>
        <v/>
      </c>
      <c r="U22" s="118">
        <f>IFERROR(VLOOKUP(INT($I$6)*100+12,METEO_SADM!$A$1:$L$505,8,FALSE),"s/d")</f>
        <v/>
      </c>
      <c r="V22" s="119">
        <f>IFERROR(VLOOKUP(INT($I$6)*100+12,METEO_SADM!$A$1:$L$505,9,FALSE),"s/d")</f>
        <v/>
      </c>
    </row>
    <row r="23" ht="19.5" customFormat="1" customHeight="1" s="3">
      <c r="A23" s="1" t="n"/>
      <c r="B23" s="11" t="inlineStr">
        <is>
          <t>13 a 14</t>
        </is>
      </c>
      <c r="C23" s="12" t="n"/>
      <c r="D23" s="12" t="n"/>
      <c r="E23" s="12" t="n"/>
      <c r="F23" s="12" t="n"/>
      <c r="G23" s="12" t="n"/>
      <c r="H23" s="13">
        <f>SUM(C23:G23)</f>
        <v/>
      </c>
      <c r="I23" s="27" t="n"/>
      <c r="J23" s="32" t="n"/>
      <c r="K23" s="12" t="n"/>
      <c r="L23" s="12" t="n"/>
      <c r="M23" s="14" t="n"/>
      <c r="O23" s="4" t="n"/>
      <c r="R23" s="118">
        <f>IFERROR(VLOOKUP(INT($I$6)*100+13,METEO_SADM!$A$1:$L$505,5,FALSE),"s/d")</f>
        <v/>
      </c>
      <c r="S23" s="118">
        <f>IFERROR(VLOOKUP(INT($I$6)*100+13,METEO_SADM!$A$1:$L$505,6,FALSE),"s/d")</f>
        <v/>
      </c>
      <c r="T23" s="118">
        <f>IFERROR(VLOOKUP(INT($I$6)*100+13,METEO_SADM!$A$1:$L$505,7,FALSE),"s/d")</f>
        <v/>
      </c>
      <c r="U23" s="118">
        <f>IFERROR(VLOOKUP(INT($I$6)*100+13,METEO_SADM!$A$1:$L$505,8,FALSE),"s/d")</f>
        <v/>
      </c>
      <c r="V23" s="119">
        <f>IFERROR(VLOOKUP(INT($I$6)*100+13,METEO_SADM!$A$1:$L$505,9,FALSE),"s/d")</f>
        <v/>
      </c>
    </row>
    <row r="24" ht="19.5" customFormat="1" customHeight="1" s="3">
      <c r="A24" s="1" t="n"/>
      <c r="B24" s="11" t="inlineStr">
        <is>
          <t xml:space="preserve">14 a 15 </t>
        </is>
      </c>
      <c r="C24" s="12" t="n"/>
      <c r="D24" s="12" t="n"/>
      <c r="E24" s="12" t="n"/>
      <c r="F24" s="12" t="n"/>
      <c r="G24" s="12" t="n"/>
      <c r="H24" s="13">
        <f>SUM(C24:G24)</f>
        <v/>
      </c>
      <c r="I24" s="27" t="n"/>
      <c r="J24" s="32" t="n"/>
      <c r="K24" s="12" t="n"/>
      <c r="L24" s="12" t="n"/>
      <c r="M24" s="14" t="n"/>
      <c r="O24" s="4" t="n"/>
      <c r="R24" s="118">
        <f>IFERROR(VLOOKUP(INT($I$6)*100+14,METEO_SADM!$A$1:$L$505,5,FALSE),"s/d")</f>
        <v/>
      </c>
      <c r="S24" s="118">
        <f>IFERROR(VLOOKUP(INT($I$6)*100+14,METEO_SADM!$A$1:$L$505,6,FALSE),"s/d")</f>
        <v/>
      </c>
      <c r="T24" s="118">
        <f>IFERROR(VLOOKUP(INT($I$6)*100+14,METEO_SADM!$A$1:$L$505,7,FALSE),"s/d")</f>
        <v/>
      </c>
      <c r="U24" s="118">
        <f>IFERROR(VLOOKUP(INT($I$6)*100+14,METEO_SADM!$A$1:$L$505,8,FALSE),"s/d")</f>
        <v/>
      </c>
      <c r="V24" s="119">
        <f>IFERROR(VLOOKUP(INT($I$6)*100+14,METEO_SADM!$A$1:$L$505,9,FALSE),"s/d")</f>
        <v/>
      </c>
    </row>
    <row r="25" ht="19.5" customFormat="1" customHeight="1" s="3">
      <c r="A25" s="1" t="n"/>
      <c r="B25" s="11" t="inlineStr">
        <is>
          <t>15 a 16</t>
        </is>
      </c>
      <c r="C25" s="12" t="n"/>
      <c r="D25" s="12" t="n"/>
      <c r="E25" s="12" t="n"/>
      <c r="F25" s="12" t="n"/>
      <c r="G25" s="12" t="n"/>
      <c r="H25" s="13">
        <f>SUM(C25:G25)</f>
        <v/>
      </c>
      <c r="I25" s="27" t="n"/>
      <c r="J25" s="32" t="n"/>
      <c r="K25" s="12" t="n"/>
      <c r="L25" s="12" t="n"/>
      <c r="M25" s="14" t="n"/>
      <c r="O25" s="4" t="n"/>
      <c r="R25" s="118">
        <f>IFERROR(VLOOKUP(INT($I$6)*100+15,METEO_SADM!$A$1:$L$505,5,FALSE),"s/d")</f>
        <v/>
      </c>
      <c r="S25" s="118">
        <f>IFERROR(VLOOKUP(INT($I$6)*100+15,METEO_SADM!$A$1:$L$505,6,FALSE),"s/d")</f>
        <v/>
      </c>
      <c r="T25" s="118">
        <f>IFERROR(VLOOKUP(INT($I$6)*100+15,METEO_SADM!$A$1:$L$505,7,FALSE),"s/d")</f>
        <v/>
      </c>
      <c r="U25" s="118">
        <f>IFERROR(VLOOKUP(INT($I$6)*100+15,METEO_SADM!$A$1:$L$505,8,FALSE),"s/d")</f>
        <v/>
      </c>
      <c r="V25" s="119">
        <f>IFERROR(VLOOKUP(INT($I$6)*100+15,METEO_SADM!$A$1:$L$505,9,FALSE),"s/d")</f>
        <v/>
      </c>
    </row>
    <row r="26" ht="19.5" customFormat="1" customHeight="1" s="3">
      <c r="A26" s="1" t="n"/>
      <c r="B26" s="11" t="inlineStr">
        <is>
          <t>16 a 17</t>
        </is>
      </c>
      <c r="C26" s="12" t="n"/>
      <c r="D26" s="12" t="n"/>
      <c r="E26" s="12" t="n"/>
      <c r="F26" s="12" t="n"/>
      <c r="G26" s="12" t="n"/>
      <c r="H26" s="13">
        <f>SUM(C26:G26)</f>
        <v/>
      </c>
      <c r="I26" s="27" t="n"/>
      <c r="J26" s="32" t="n"/>
      <c r="K26" s="12" t="n"/>
      <c r="L26" s="12" t="n"/>
      <c r="M26" s="14" t="n"/>
      <c r="O26" s="4" t="n"/>
      <c r="R26" s="118">
        <f>IFERROR(VLOOKUP(INT($I$6)*100+16,METEO_SADM!$A$1:$L$505,5,FALSE),"s/d")</f>
        <v/>
      </c>
      <c r="S26" s="118">
        <f>IFERROR(VLOOKUP(INT($I$6)*100+16,METEO_SADM!$A$1:$L$505,6,FALSE),"s/d")</f>
        <v/>
      </c>
      <c r="T26" s="118">
        <f>IFERROR(VLOOKUP(INT($I$6)*100+16,METEO_SADM!$A$1:$L$505,7,FALSE),"s/d")</f>
        <v/>
      </c>
      <c r="U26" s="118">
        <f>IFERROR(VLOOKUP(INT($I$6)*100+16,METEO_SADM!$A$1:$L$505,8,FALSE),"s/d")</f>
        <v/>
      </c>
      <c r="V26" s="119">
        <f>IFERROR(VLOOKUP(INT($I$6)*100+16,METEO_SADM!$A$1:$L$505,9,FALSE),"s/d")</f>
        <v/>
      </c>
    </row>
    <row r="27" ht="19.5" customFormat="1" customHeight="1" s="3">
      <c r="A27" s="1" t="n"/>
      <c r="B27" s="11" t="inlineStr">
        <is>
          <t>17 a 18</t>
        </is>
      </c>
      <c r="C27" s="12" t="n"/>
      <c r="D27" s="12" t="n"/>
      <c r="E27" s="12" t="n"/>
      <c r="F27" s="12" t="n"/>
      <c r="G27" s="12" t="n"/>
      <c r="H27" s="13">
        <f>SUM(C27:G27)</f>
        <v/>
      </c>
      <c r="I27" s="27" t="n"/>
      <c r="J27" s="32" t="n"/>
      <c r="K27" s="12" t="n"/>
      <c r="L27" s="12" t="n"/>
      <c r="M27" s="14" t="n"/>
      <c r="O27" s="4" t="n"/>
      <c r="R27" s="118">
        <f>IFERROR(VLOOKUP(INT($I$6)*100+17,METEO_SADM!$A$1:$L$505,5,FALSE),"s/d")</f>
        <v/>
      </c>
      <c r="S27" s="118">
        <f>IFERROR(VLOOKUP(INT($I$6)*100+17,METEO_SADM!$A$1:$L$505,6,FALSE),"s/d")</f>
        <v/>
      </c>
      <c r="T27" s="118">
        <f>IFERROR(VLOOKUP(INT($I$6)*100+17,METEO_SADM!$A$1:$L$505,7,FALSE),"s/d")</f>
        <v/>
      </c>
      <c r="U27" s="118">
        <f>IFERROR(VLOOKUP(INT($I$6)*100+17,METEO_SADM!$A$1:$L$505,8,FALSE),"s/d")</f>
        <v/>
      </c>
      <c r="V27" s="119">
        <f>IFERROR(VLOOKUP(INT($I$6)*100+17,METEO_SADM!$A$1:$L$505,9,FALSE),"s/d")</f>
        <v/>
      </c>
    </row>
    <row r="28" ht="19.5" customFormat="1" customHeight="1" s="3">
      <c r="A28" s="1" t="n"/>
      <c r="B28" s="11" t="inlineStr">
        <is>
          <t>18 a 19</t>
        </is>
      </c>
      <c r="C28" s="12" t="n"/>
      <c r="D28" s="12" t="n"/>
      <c r="E28" s="12" t="n"/>
      <c r="F28" s="12" t="n"/>
      <c r="G28" s="12" t="n"/>
      <c r="H28" s="13">
        <f>SUM(C28:G28)</f>
        <v/>
      </c>
      <c r="I28" s="27" t="n"/>
      <c r="J28" s="32" t="n"/>
      <c r="K28" s="12" t="n"/>
      <c r="L28" s="12" t="n"/>
      <c r="M28" s="14" t="n"/>
      <c r="O28" s="4" t="n"/>
      <c r="R28" s="118">
        <f>IFERROR(VLOOKUP(INT($I$6)*100+18,METEO_SADM!$A$1:$L$505,5,FALSE),"s/d")</f>
        <v/>
      </c>
      <c r="S28" s="118">
        <f>IFERROR(VLOOKUP(INT($I$6)*100+18,METEO_SADM!$A$1:$L$505,6,FALSE),"s/d")</f>
        <v/>
      </c>
      <c r="T28" s="118">
        <f>IFERROR(VLOOKUP(INT($I$6)*100+18,METEO_SADM!$A$1:$L$505,7,FALSE),"s/d")</f>
        <v/>
      </c>
      <c r="U28" s="118">
        <f>IFERROR(VLOOKUP(INT($I$6)*100+18,METEO_SADM!$A$1:$L$505,8,FALSE),"s/d")</f>
        <v/>
      </c>
      <c r="V28" s="119">
        <f>IFERROR(VLOOKUP(INT($I$6)*100+18,METEO_SADM!$A$1:$L$505,9,FALSE),"s/d")</f>
        <v/>
      </c>
    </row>
    <row r="29" ht="19.5" customFormat="1" customHeight="1" s="3">
      <c r="A29" s="1" t="n"/>
      <c r="B29" s="11" t="inlineStr">
        <is>
          <t xml:space="preserve">19 a 20 </t>
        </is>
      </c>
      <c r="C29" s="12" t="n"/>
      <c r="D29" s="12" t="n"/>
      <c r="E29" s="12" t="n"/>
      <c r="F29" s="12" t="n"/>
      <c r="G29" s="12" t="n"/>
      <c r="H29" s="13">
        <f>SUM(C29:G29)</f>
        <v/>
      </c>
      <c r="I29" s="27" t="n"/>
      <c r="J29" s="32" t="n"/>
      <c r="K29" s="12" t="n"/>
      <c r="L29" s="12" t="n"/>
      <c r="M29" s="14" t="n"/>
      <c r="O29" s="4" t="n"/>
      <c r="R29" s="118">
        <f>IFERROR(VLOOKUP(INT($I$6)*100+19,METEO_SADM!$A$1:$L$505,5,FALSE),"s/d")</f>
        <v/>
      </c>
      <c r="S29" s="118">
        <f>IFERROR(VLOOKUP(INT($I$6)*100+19,METEO_SADM!$A$1:$L$505,6,FALSE),"s/d")</f>
        <v/>
      </c>
      <c r="T29" s="118">
        <f>IFERROR(VLOOKUP(INT($I$6)*100+19,METEO_SADM!$A$1:$L$505,7,FALSE),"s/d")</f>
        <v/>
      </c>
      <c r="U29" s="118">
        <f>IFERROR(VLOOKUP(INT($I$6)*100+19,METEO_SADM!$A$1:$L$505,8,FALSE),"s/d")</f>
        <v/>
      </c>
      <c r="V29" s="119">
        <f>IFERROR(VLOOKUP(INT($I$6)*100+19,METEO_SADM!$A$1:$L$505,9,FALSE),"s/d")</f>
        <v/>
      </c>
    </row>
    <row r="30" ht="19.5" customFormat="1" customHeight="1" s="3">
      <c r="A30" s="1" t="n"/>
      <c r="B30" s="11" t="inlineStr">
        <is>
          <t>20 a 21</t>
        </is>
      </c>
      <c r="C30" s="12" t="n"/>
      <c r="D30" s="12" t="n"/>
      <c r="E30" s="12" t="n"/>
      <c r="F30" s="12" t="n"/>
      <c r="G30" s="12" t="n"/>
      <c r="H30" s="13">
        <f>SUM(C30:G30)</f>
        <v/>
      </c>
      <c r="I30" s="27" t="n"/>
      <c r="J30" s="32" t="n"/>
      <c r="K30" s="12" t="n"/>
      <c r="L30" s="12" t="n"/>
      <c r="M30" s="14" t="n"/>
      <c r="O30" s="4" t="n"/>
      <c r="R30" s="118">
        <f>IFERROR(VLOOKUP(INT($I$6)*100+20,METEO_SADM!$A$1:$L$505,5,FALSE),"s/d")</f>
        <v/>
      </c>
      <c r="S30" s="118">
        <f>IFERROR(VLOOKUP(INT($I$6)*100+20,METEO_SADM!$A$1:$L$505,6,FALSE),"s/d")</f>
        <v/>
      </c>
      <c r="T30" s="118">
        <f>IFERROR(VLOOKUP(INT($I$6)*100+20,METEO_SADM!$A$1:$L$505,7,FALSE),"s/d")</f>
        <v/>
      </c>
      <c r="U30" s="118">
        <f>IFERROR(VLOOKUP(INT($I$6)*100+20,METEO_SADM!$A$1:$L$505,8,FALSE),"s/d")</f>
        <v/>
      </c>
      <c r="V30" s="119">
        <f>IFERROR(VLOOKUP(INT($I$6)*100+20,METEO_SADM!$A$1:$L$505,9,FALSE),"s/d")</f>
        <v/>
      </c>
    </row>
    <row r="31" ht="19.5" customFormat="1" customHeight="1" s="3">
      <c r="A31" s="1" t="n"/>
      <c r="B31" s="11" t="inlineStr">
        <is>
          <t xml:space="preserve">21 a 22 </t>
        </is>
      </c>
      <c r="C31" s="12" t="n"/>
      <c r="D31" s="12" t="n"/>
      <c r="E31" s="12" t="n"/>
      <c r="F31" s="12" t="n"/>
      <c r="G31" s="12" t="n"/>
      <c r="H31" s="13">
        <f>SUM(C31:G31)</f>
        <v/>
      </c>
      <c r="I31" s="27" t="n"/>
      <c r="J31" s="32" t="n"/>
      <c r="K31" s="12" t="n"/>
      <c r="L31" s="12" t="n"/>
      <c r="M31" s="14" t="n"/>
      <c r="O31" s="4" t="n"/>
      <c r="R31" s="118">
        <f>IFERROR(VLOOKUP(INT($I$6)*100+21,METEO_SADM!$A$1:$L$505,5,FALSE),"s/d")</f>
        <v/>
      </c>
      <c r="S31" s="118">
        <f>IFERROR(VLOOKUP(INT($I$6)*100+21,METEO_SADM!$A$1:$L$505,6,FALSE),"s/d")</f>
        <v/>
      </c>
      <c r="T31" s="118">
        <f>IFERROR(VLOOKUP(INT($I$6)*100+21,METEO_SADM!$A$1:$L$505,7,FALSE),"s/d")</f>
        <v/>
      </c>
      <c r="U31" s="118">
        <f>IFERROR(VLOOKUP(INT($I$6)*100+21,METEO_SADM!$A$1:$L$505,8,FALSE),"s/d")</f>
        <v/>
      </c>
      <c r="V31" s="119">
        <f>IFERROR(VLOOKUP(INT($I$6)*100+21,METEO_SADM!$A$1:$L$505,9,FALSE),"s/d")</f>
        <v/>
      </c>
    </row>
    <row r="32" ht="19.5" customFormat="1" customHeight="1" s="3">
      <c r="A32" s="1" t="n"/>
      <c r="B32" s="11" t="inlineStr">
        <is>
          <t>22 a 23</t>
        </is>
      </c>
      <c r="C32" s="12" t="n"/>
      <c r="D32" s="12" t="n"/>
      <c r="E32" s="12" t="n"/>
      <c r="F32" s="12" t="n"/>
      <c r="G32" s="12" t="n"/>
      <c r="H32" s="13">
        <f>SUM(C32:G32)</f>
        <v/>
      </c>
      <c r="I32" s="27" t="n"/>
      <c r="J32" s="32" t="n"/>
      <c r="K32" s="12" t="n"/>
      <c r="L32" s="12" t="n"/>
      <c r="M32" s="14" t="n"/>
      <c r="O32" s="4" t="n"/>
      <c r="R32" s="118">
        <f>IFERROR(VLOOKUP(INT($I$6)*100+22,METEO_SADM!$A$1:$L$505,5,FALSE),"s/d")</f>
        <v/>
      </c>
      <c r="S32" s="118">
        <f>IFERROR(VLOOKUP(INT($I$6)*100+22,METEO_SADM!$A$1:$L$505,6,FALSE),"s/d")</f>
        <v/>
      </c>
      <c r="T32" s="118">
        <f>IFERROR(VLOOKUP(INT($I$6)*100+22,METEO_SADM!$A$1:$L$505,7,FALSE),"s/d")</f>
        <v/>
      </c>
      <c r="U32" s="118">
        <f>IFERROR(VLOOKUP(INT($I$6)*100+22,METEO_SADM!$A$1:$L$505,8,FALSE),"s/d")</f>
        <v/>
      </c>
      <c r="V32" s="119">
        <f>IFERROR(VLOOKUP(INT($I$6)*100+22,METEO_SADM!$A$1:$L$505,9,FALSE),"s/d")</f>
        <v/>
      </c>
    </row>
    <row r="33" ht="19.5" customFormat="1" customHeight="1" s="3" thickBot="1">
      <c r="A33" s="1" t="n"/>
      <c r="B33" s="18" t="inlineStr">
        <is>
          <t>23 a 00</t>
        </is>
      </c>
      <c r="C33" s="19" t="n"/>
      <c r="D33" s="12" t="n"/>
      <c r="E33" s="12" t="n"/>
      <c r="F33" s="12" t="n"/>
      <c r="G33" s="12" t="n"/>
      <c r="H33" s="20">
        <f>SUM(C33:G33)</f>
        <v/>
      </c>
      <c r="I33" s="28" t="n"/>
      <c r="J33" s="33" t="n"/>
      <c r="K33" s="19" t="n"/>
      <c r="L33" s="19" t="n"/>
      <c r="M33" s="21" t="n"/>
      <c r="O33" s="4" t="n"/>
      <c r="P33" s="3" t="inlineStr">
        <is>
          <t>pista</t>
        </is>
      </c>
      <c r="R33" s="118">
        <f>IFERROR(VLOOKUP(INT($I$6)*100+23,METEO_SADM!$A$1:$L$505,5,FALSE),"s/d")</f>
        <v/>
      </c>
      <c r="S33" s="118">
        <f>IFERROR(VLOOKUP(INT($I$6)*100+23,METEO_SADM!$A$1:$L$505,6,FALSE),"s/d")</f>
        <v/>
      </c>
      <c r="T33" s="118">
        <f>IFERROR(VLOOKUP(INT($I$6)*100+23,METEO_SADM!$A$1:$L$505,7,FALSE),"s/d")</f>
        <v/>
      </c>
      <c r="U33" s="118">
        <f>IFERROR(VLOOKUP(INT($I$6)*100+23,METEO_SADM!$A$1:$L$505,8,FALSE),"s/d")</f>
        <v/>
      </c>
      <c r="V33" s="119">
        <f>IFERROR(VLOOKUP(INT($I$6)*100+23,METEO_SADM!$A$1:$L$505,9,FALSE),"s/d")</f>
        <v/>
      </c>
    </row>
    <row r="34" ht="15.75" customHeight="1" thickTop="1">
      <c r="B34" s="108" t="inlineStr">
        <is>
          <t>TOTAL DIARIO</t>
        </is>
      </c>
      <c r="C34" s="51" t="inlineStr">
        <is>
          <t>COMERCIAL</t>
        </is>
      </c>
      <c r="D34" s="51" t="inlineStr">
        <is>
          <t>OFICIAL</t>
        </is>
      </c>
      <c r="E34" s="51" t="inlineStr">
        <is>
          <t>OTROS</t>
        </is>
      </c>
      <c r="F34" s="51" t="inlineStr">
        <is>
          <t>LOCAL</t>
        </is>
      </c>
      <c r="G34" s="51" t="inlineStr">
        <is>
          <t>SOBREVUELO</t>
        </is>
      </c>
      <c r="H34" s="109" t="inlineStr">
        <is>
          <t>TOTAL MOVIMIENTOS</t>
        </is>
      </c>
      <c r="I34" s="110" t="inlineStr">
        <is>
          <t>IFR</t>
        </is>
      </c>
      <c r="J34" s="76" t="inlineStr">
        <is>
          <t>PISTA</t>
        </is>
      </c>
      <c r="K34" s="111" t="n"/>
      <c r="L34" s="111" t="n"/>
      <c r="M34" s="112" t="n"/>
      <c r="P34" s="1" t="inlineStr">
        <is>
          <t>suma total</t>
        </is>
      </c>
    </row>
    <row r="35">
      <c r="B35" s="113" t="n"/>
      <c r="C35" s="114" t="n"/>
      <c r="D35" s="114" t="n"/>
      <c r="E35" s="114" t="n"/>
      <c r="F35" s="114" t="n"/>
      <c r="G35" s="114" t="n"/>
      <c r="H35" s="114" t="n"/>
      <c r="I35" s="115" t="n"/>
      <c r="J35" s="34">
        <f>J9</f>
        <v/>
      </c>
      <c r="K35" s="52">
        <f>K9</f>
        <v/>
      </c>
      <c r="L35" s="52">
        <f>L9</f>
        <v/>
      </c>
      <c r="M35" s="15">
        <f>M9</f>
        <v/>
      </c>
      <c r="P35" s="1">
        <f>SUM(J36:M36)</f>
        <v/>
      </c>
    </row>
    <row r="36">
      <c r="B36" s="113" t="n"/>
      <c r="C36" s="22">
        <f>SUM(C10:C33)</f>
        <v/>
      </c>
      <c r="D36" s="22">
        <f>SUM(D10:D33)</f>
        <v/>
      </c>
      <c r="E36" s="22">
        <f>SUM(E10:E33)</f>
        <v/>
      </c>
      <c r="F36" s="22">
        <f>SUM(F10:F33)</f>
        <v/>
      </c>
      <c r="G36" s="22">
        <f>SUM(G10:G33)</f>
        <v/>
      </c>
      <c r="H36" s="22">
        <f>SUM(H10:H33)</f>
        <v/>
      </c>
      <c r="I36" s="29">
        <f>SUM(I10:I33)</f>
        <v/>
      </c>
      <c r="J36" s="35">
        <f>SUM(J10:J33)</f>
        <v/>
      </c>
      <c r="K36" s="22">
        <f>SUM(K10:K33)</f>
        <v/>
      </c>
      <c r="L36" s="22">
        <f>SUM(L10:L33)</f>
        <v/>
      </c>
      <c r="M36" s="23">
        <f>SUM(M10:M33)</f>
        <v/>
      </c>
    </row>
    <row r="37" ht="15.75" customHeight="1" thickBot="1">
      <c r="B37" s="116" t="n"/>
      <c r="C37" s="16">
        <f>((C36*100)/$H$36)/100</f>
        <v/>
      </c>
      <c r="D37" s="16">
        <f>((D36*100)/$H$36)/100</f>
        <v/>
      </c>
      <c r="E37" s="16">
        <f>((E36*100)/$H$36)/100</f>
        <v/>
      </c>
      <c r="F37" s="16">
        <f>((F36*100)/$H$36)/100</f>
        <v/>
      </c>
      <c r="G37" s="16">
        <f>((G36*100)/$H$36)/100</f>
        <v/>
      </c>
      <c r="H37" s="16">
        <f>((H36*100)/$H$36)/100</f>
        <v/>
      </c>
      <c r="I37" s="30">
        <f>((I36*100)/$H$36)/100</f>
        <v/>
      </c>
      <c r="J37" s="36">
        <f>((J36*100)/$P$35)/100</f>
        <v/>
      </c>
      <c r="K37" s="17">
        <f>((K36*100)/$P$35)/100</f>
        <v/>
      </c>
      <c r="L37" s="17">
        <f>((L36*100)/$P$35)/100</f>
        <v/>
      </c>
      <c r="M37" s="24">
        <f>((M36*100)/$P$35)/100</f>
        <v/>
      </c>
    </row>
    <row r="38" ht="15.75" customHeight="1" thickTop="1"/>
    <row r="43">
      <c r="F43" s="5" t="n"/>
      <c r="G43" s="5" t="n"/>
      <c r="H43" s="5" t="n"/>
      <c r="I43" s="5" t="n"/>
    </row>
    <row r="44">
      <c r="F44" s="50" t="inlineStr">
        <is>
          <t>Firma y aclaración del responsable</t>
        </is>
      </c>
      <c r="G44" s="117" t="n"/>
      <c r="H44" s="117" t="n"/>
      <c r="I44"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E34:E35"/>
    <mergeCell ref="G34:G35"/>
    <mergeCell ref="H34:H35"/>
    <mergeCell ref="F8:F9"/>
    <mergeCell ref="J8:M8"/>
    <mergeCell ref="F44:I44"/>
    <mergeCell ref="C8:C9"/>
    <mergeCell ref="I8:I9"/>
    <mergeCell ref="B34:B37"/>
    <mergeCell ref="J34:M34"/>
    <mergeCell ref="D8:D9"/>
    <mergeCell ref="B4:M4"/>
    <mergeCell ref="I34:I35"/>
    <mergeCell ref="I6:K6"/>
    <mergeCell ref="B3:M3"/>
    <mergeCell ref="H8:H9"/>
    <mergeCell ref="C34:C35"/>
    <mergeCell ref="D34:D35"/>
    <mergeCell ref="F34:F35"/>
    <mergeCell ref="D6:F6"/>
  </mergeCells>
  <conditionalFormatting sqref="J37:M37">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6" verticalDpi="599"/>
  <headerFooter>
    <oddHeader/>
    <oddFooter>&amp;LFecha de impresión: &amp;D&amp;RREV.0&amp;P/&amp;N</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3:P49"/>
  <sheetViews>
    <sheetView showGridLines="0" topLeftCell="A4" zoomScaleNormal="100" workbookViewId="0">
      <selection activeCell="I6" sqref="I6:K6"/>
    </sheetView>
  </sheetViews>
  <sheetFormatPr baseColWidth="10" defaultColWidth="0" defaultRowHeight="15" customHeight="1" zeroHeight="1"/>
  <cols>
    <col width="0.7109375" customWidth="1" style="1" min="1" max="1"/>
    <col width="16.5703125" bestFit="1" customWidth="1" style="1" min="2" max="2"/>
    <col width="11.42578125" customWidth="1" style="1" min="3" max="6"/>
    <col width="12.5703125" bestFit="1" customWidth="1" style="1" min="7" max="7"/>
    <col width="12.5703125" customWidth="1" style="1" min="8" max="8"/>
    <col width="11.42578125" customWidth="1" style="1" min="9" max="9"/>
    <col width="8.42578125" bestFit="1" customWidth="1" style="1" min="10" max="10"/>
    <col width="12" bestFit="1" customWidth="1" style="1" min="11" max="11"/>
    <col width="8.42578125" bestFit="1" customWidth="1" style="1" min="12" max="13"/>
    <col width="1" customWidth="1" style="1" min="14" max="14"/>
    <col hidden="1" width="11.42578125" customWidth="1" style="2" min="15" max="15"/>
    <col hidden="1" width="10.28515625" customWidth="1" style="1" min="16" max="16"/>
    <col hidden="1" width="11.42578125" customWidth="1" style="1" min="17" max="16384"/>
  </cols>
  <sheetData>
    <row r="2" ht="24.75" customHeight="1" thickBot="1"/>
    <row r="3" ht="27" customHeight="1" thickTop="1">
      <c r="B3" s="88" t="inlineStr">
        <is>
          <t>MOVIMIENTO DE AERONAVES</t>
        </is>
      </c>
      <c r="C3" s="89" t="n"/>
      <c r="D3" s="89" t="n"/>
      <c r="E3" s="89" t="n"/>
      <c r="F3" s="89" t="n"/>
      <c r="G3" s="89" t="n"/>
      <c r="H3" s="89" t="n"/>
      <c r="I3" s="89" t="n"/>
      <c r="J3" s="89" t="n"/>
      <c r="K3" s="89" t="n"/>
      <c r="L3" s="89" t="n"/>
      <c r="M3" s="90" t="n"/>
    </row>
    <row r="4" ht="18.75" customHeight="1">
      <c r="B4" s="91" t="inlineStr">
        <is>
          <t>ESTADISTICA MENSUAL</t>
        </is>
      </c>
      <c r="M4" s="92" t="n"/>
    </row>
    <row r="5" ht="21" customHeight="1">
      <c r="B5" s="6" t="n"/>
      <c r="C5" s="7" t="n"/>
      <c r="D5" s="7" t="n"/>
      <c r="E5" s="7" t="n"/>
      <c r="F5" s="7" t="n"/>
      <c r="G5" s="7" t="n"/>
      <c r="H5" s="7" t="n"/>
      <c r="I5" s="7" t="n"/>
      <c r="J5" s="7" t="n"/>
      <c r="K5" s="7" t="n"/>
      <c r="L5" s="7" t="n"/>
      <c r="M5" s="8" t="n"/>
    </row>
    <row r="6" ht="15.75" customHeight="1" thickBot="1">
      <c r="B6" s="6" t="n"/>
      <c r="C6" s="9" t="inlineStr">
        <is>
          <t>DEPENDENCIA:</t>
        </is>
      </c>
      <c r="D6" s="83" t="inlineStr">
        <is>
          <t>TORRE MORON</t>
        </is>
      </c>
      <c r="E6" s="93" t="n"/>
      <c r="F6" s="93" t="n"/>
      <c r="G6" s="7" t="n"/>
      <c r="H6" s="10" t="inlineStr">
        <is>
          <t>PERIODO:</t>
        </is>
      </c>
      <c r="I6" s="83" t="inlineStr">
        <is>
          <t>MES DE AGOSTO</t>
        </is>
      </c>
      <c r="J6" s="93" t="n"/>
      <c r="K6" s="93" t="n"/>
      <c r="L6" s="7" t="n"/>
      <c r="M6" s="8" t="n"/>
    </row>
    <row r="7">
      <c r="B7" s="6" t="n"/>
      <c r="C7" s="7" t="n"/>
      <c r="D7" s="7" t="n"/>
      <c r="E7" s="7" t="n"/>
      <c r="F7" s="7" t="n"/>
      <c r="G7" s="7" t="n"/>
      <c r="H7" s="7" t="n"/>
      <c r="I7" s="7" t="n"/>
      <c r="J7" s="7" t="n"/>
      <c r="K7" s="7" t="n"/>
      <c r="L7" s="7" t="n"/>
      <c r="M7" s="8" t="n"/>
    </row>
    <row r="8">
      <c r="B8" s="120" t="inlineStr">
        <is>
          <t>DIA</t>
        </is>
      </c>
      <c r="C8" s="86" t="inlineStr">
        <is>
          <t>COMERCIAL</t>
        </is>
      </c>
      <c r="D8" s="86" t="inlineStr">
        <is>
          <t>OFICIAL</t>
        </is>
      </c>
      <c r="E8" s="86" t="inlineStr">
        <is>
          <t>OTROS</t>
        </is>
      </c>
      <c r="F8" s="86" t="inlineStr">
        <is>
          <t>LOCAL</t>
        </is>
      </c>
      <c r="G8" s="86" t="inlineStr">
        <is>
          <t>SOBREVUELO</t>
        </is>
      </c>
      <c r="H8" s="121" t="inlineStr">
        <is>
          <t>TOTAL MOVIMIENTOS</t>
        </is>
      </c>
      <c r="I8" s="122" t="inlineStr">
        <is>
          <t>IFR</t>
        </is>
      </c>
      <c r="J8" s="85" t="inlineStr">
        <is>
          <t>PISTA</t>
        </is>
      </c>
      <c r="K8" s="123" t="n"/>
      <c r="L8" s="123" t="n"/>
      <c r="M8" s="124" t="n"/>
    </row>
    <row r="9">
      <c r="B9" s="100" t="n"/>
      <c r="C9" s="101" t="n"/>
      <c r="D9" s="101" t="n"/>
      <c r="E9" s="101" t="n"/>
      <c r="F9" s="101" t="n"/>
      <c r="G9" s="101" t="n"/>
      <c r="H9" s="101" t="n"/>
      <c r="I9" s="102" t="n"/>
      <c r="J9" s="37" t="n">
        <v>2</v>
      </c>
      <c r="K9" s="38" t="n">
        <v>20</v>
      </c>
      <c r="L9" s="38" t="n"/>
      <c r="M9" s="39" t="n"/>
    </row>
    <row r="10" ht="19.5" customFormat="1" customHeight="1" s="3">
      <c r="A10" s="1" t="n"/>
      <c r="B10" s="40" t="n">
        <v>1</v>
      </c>
      <c r="C10" s="41">
        <f>SUM('1'!C10:C33)</f>
        <v/>
      </c>
      <c r="D10" s="41">
        <f>SUM('1'!D10:D33)</f>
        <v/>
      </c>
      <c r="E10" s="41">
        <f>SUM('1'!E10:E33)</f>
        <v/>
      </c>
      <c r="F10" s="41">
        <f>SUM('1'!F10:F33)</f>
        <v/>
      </c>
      <c r="G10" s="41">
        <f>SUM('1'!G10:G33)</f>
        <v/>
      </c>
      <c r="H10" s="42">
        <f>SUM(C10:G10)</f>
        <v/>
      </c>
      <c r="I10" s="41">
        <f>SUM('1'!I10:I33)</f>
        <v/>
      </c>
      <c r="J10" s="41">
        <f>SUM('1'!J10:J33)</f>
        <v/>
      </c>
      <c r="K10" s="41">
        <f>SUM('1'!K10:K33)</f>
        <v/>
      </c>
      <c r="L10" s="41" t="n"/>
      <c r="M10" s="43" t="n"/>
      <c r="O10" s="4" t="n"/>
    </row>
    <row r="11" ht="19.5" customFormat="1" customHeight="1" s="3">
      <c r="A11" s="1" t="n"/>
      <c r="B11" s="40" t="n">
        <v>2</v>
      </c>
      <c r="C11" s="41">
        <f>SUM('2'!C10:C33)</f>
        <v/>
      </c>
      <c r="D11" s="41">
        <f>SUM('2'!D10:D33)</f>
        <v/>
      </c>
      <c r="E11" s="41">
        <f>SUM('2'!E10:E33)</f>
        <v/>
      </c>
      <c r="F11" s="41">
        <f>SUM('2'!F10:F33)</f>
        <v/>
      </c>
      <c r="G11" s="41">
        <f>SUM('2'!G10:G33)</f>
        <v/>
      </c>
      <c r="H11" s="42">
        <f>SUM(C11:G11)</f>
        <v/>
      </c>
      <c r="I11" s="41">
        <f>SUM('2'!I10:I33)</f>
        <v/>
      </c>
      <c r="J11" s="41">
        <f>SUM('2'!J10:J33)</f>
        <v/>
      </c>
      <c r="K11" s="41">
        <f>SUM('2'!K10:K33)</f>
        <v/>
      </c>
      <c r="L11" s="41" t="n"/>
      <c r="M11" s="43" t="n"/>
      <c r="O11" s="4" t="n"/>
    </row>
    <row r="12" ht="19.5" customFormat="1" customHeight="1" s="3">
      <c r="A12" s="1" t="n"/>
      <c r="B12" s="40" t="n">
        <v>3</v>
      </c>
      <c r="C12" s="41">
        <f>SUM('3'!C10:C33)</f>
        <v/>
      </c>
      <c r="D12" s="41">
        <f>SUM('3'!D10:D33)</f>
        <v/>
      </c>
      <c r="E12" s="41">
        <f>SUM('3'!E10:E33)</f>
        <v/>
      </c>
      <c r="F12" s="41">
        <f>SUM('3'!F10:F33)</f>
        <v/>
      </c>
      <c r="G12" s="41">
        <f>SUM('3'!G10:G33)</f>
        <v/>
      </c>
      <c r="H12" s="42">
        <f>SUM(C12:G12)</f>
        <v/>
      </c>
      <c r="I12" s="41">
        <f>SUM('3'!I10:I33)</f>
        <v/>
      </c>
      <c r="J12" s="41">
        <f>SUM('3'!J10:J33)</f>
        <v/>
      </c>
      <c r="K12" s="41">
        <f>SUM('3'!K10:K33)</f>
        <v/>
      </c>
      <c r="L12" s="41" t="n"/>
      <c r="M12" s="43" t="n"/>
      <c r="O12" s="4" t="n"/>
    </row>
    <row r="13" ht="19.5" customFormat="1" customHeight="1" s="3">
      <c r="A13" s="1" t="n"/>
      <c r="B13" s="40" t="n">
        <v>4</v>
      </c>
      <c r="C13" s="41">
        <f>SUM('4'!C10:C33)</f>
        <v/>
      </c>
      <c r="D13" s="41">
        <f>SUM('4'!D10:D33)</f>
        <v/>
      </c>
      <c r="E13" s="41">
        <f>SUM('4'!E10:E33)</f>
        <v/>
      </c>
      <c r="F13" s="41">
        <f>SUM('4'!F10:F33)</f>
        <v/>
      </c>
      <c r="G13" s="41">
        <f>SUM('4'!G10:G33)</f>
        <v/>
      </c>
      <c r="H13" s="42">
        <f>SUM(C13:G13)</f>
        <v/>
      </c>
      <c r="I13" s="41">
        <f>SUM('4'!I10:I33)</f>
        <v/>
      </c>
      <c r="J13" s="41">
        <f>SUM('4'!J10:J33)</f>
        <v/>
      </c>
      <c r="K13" s="41">
        <f>SUM('4'!K10:K33)</f>
        <v/>
      </c>
      <c r="L13" s="41" t="n"/>
      <c r="M13" s="43" t="n"/>
      <c r="O13" s="4" t="n"/>
    </row>
    <row r="14" ht="19.5" customFormat="1" customHeight="1" s="3">
      <c r="A14" s="1" t="n"/>
      <c r="B14" s="40" t="n">
        <v>5</v>
      </c>
      <c r="C14" s="41">
        <f>SUM('5'!C10:C33)</f>
        <v/>
      </c>
      <c r="D14" s="41">
        <f>SUM('5'!D10:D33)</f>
        <v/>
      </c>
      <c r="E14" s="41">
        <f>SUM('5'!E10:E33)</f>
        <v/>
      </c>
      <c r="F14" s="41">
        <f>SUM('5'!F10:F33)</f>
        <v/>
      </c>
      <c r="G14" s="41">
        <f>SUM('5'!G10:G33)</f>
        <v/>
      </c>
      <c r="H14" s="42">
        <f>SUM(C14:G14)</f>
        <v/>
      </c>
      <c r="I14" s="41">
        <f>SUM('5'!I10:I33)</f>
        <v/>
      </c>
      <c r="J14" s="41">
        <f>SUM('5'!J10:J33)</f>
        <v/>
      </c>
      <c r="K14" s="41">
        <f>SUM('5'!K10:K33)</f>
        <v/>
      </c>
      <c r="L14" s="41" t="n"/>
      <c r="M14" s="43" t="n"/>
      <c r="O14" s="4" t="n"/>
    </row>
    <row r="15" ht="19.5" customFormat="1" customHeight="1" s="3">
      <c r="A15" s="1" t="n"/>
      <c r="B15" s="40" t="n">
        <v>6</v>
      </c>
      <c r="C15" s="41">
        <f>SUM('6'!C10:C33)</f>
        <v/>
      </c>
      <c r="D15" s="41">
        <f>SUM('6'!D10:D33)</f>
        <v/>
      </c>
      <c r="E15" s="41">
        <f>SUM('6'!E10:E33)</f>
        <v/>
      </c>
      <c r="F15" s="41">
        <f>SUM('6'!F10:F33)</f>
        <v/>
      </c>
      <c r="G15" s="41">
        <f>SUM('6'!G10:G33)</f>
        <v/>
      </c>
      <c r="H15" s="42">
        <f>SUM(C15:G15)</f>
        <v/>
      </c>
      <c r="I15" s="41">
        <f>SUM('6'!I10:I33)</f>
        <v/>
      </c>
      <c r="J15" s="41">
        <f>SUM('6'!J10:J33)</f>
        <v/>
      </c>
      <c r="K15" s="41">
        <f>SUM('6'!K10:K33)</f>
        <v/>
      </c>
      <c r="L15" s="41" t="n"/>
      <c r="M15" s="43" t="n"/>
      <c r="O15" s="4" t="n"/>
    </row>
    <row r="16" ht="19.5" customFormat="1" customHeight="1" s="3">
      <c r="A16" s="1" t="n"/>
      <c r="B16" s="40" t="n">
        <v>7</v>
      </c>
      <c r="C16" s="41">
        <f>SUM('7'!C10:C33)</f>
        <v/>
      </c>
      <c r="D16" s="41">
        <f>SUM('7'!D10:D33)</f>
        <v/>
      </c>
      <c r="E16" s="41">
        <f>SUM('7'!E10:E33)</f>
        <v/>
      </c>
      <c r="F16" s="41">
        <f>SUM('7'!F10:F33)</f>
        <v/>
      </c>
      <c r="G16" s="41">
        <f>SUM('7'!G10:G33)</f>
        <v/>
      </c>
      <c r="H16" s="42">
        <f>SUM(C16:G16)</f>
        <v/>
      </c>
      <c r="I16" s="41">
        <f>SUM('7'!I10:I33)</f>
        <v/>
      </c>
      <c r="J16" s="41">
        <f>SUM('7'!J10:J33)</f>
        <v/>
      </c>
      <c r="K16" s="41">
        <f>SUM('7'!K10:K33)</f>
        <v/>
      </c>
      <c r="L16" s="41" t="n"/>
      <c r="M16" s="43" t="n"/>
      <c r="O16" s="4" t="n"/>
    </row>
    <row r="17" ht="19.5" customFormat="1" customHeight="1" s="3">
      <c r="A17" s="1" t="n"/>
      <c r="B17" s="40" t="n">
        <v>8</v>
      </c>
      <c r="C17" s="41">
        <f>SUM('8'!C10:C33)</f>
        <v/>
      </c>
      <c r="D17" s="41">
        <f>SUM('8'!D10:D33)</f>
        <v/>
      </c>
      <c r="E17" s="41">
        <f>SUM('8'!E10:E33)</f>
        <v/>
      </c>
      <c r="F17" s="41">
        <f>SUM('8'!F10:F33)</f>
        <v/>
      </c>
      <c r="G17" s="41">
        <f>SUM('8'!G10:G33)</f>
        <v/>
      </c>
      <c r="H17" s="42">
        <f>SUM(C17:G17)</f>
        <v/>
      </c>
      <c r="I17" s="41">
        <f>SUM('8'!I10:I33)</f>
        <v/>
      </c>
      <c r="J17" s="41">
        <f>SUM('8'!J10:J33)</f>
        <v/>
      </c>
      <c r="K17" s="41">
        <f>SUM('8'!K10:K33)</f>
        <v/>
      </c>
      <c r="L17" s="41" t="n"/>
      <c r="M17" s="43" t="n"/>
      <c r="O17" s="4" t="n"/>
    </row>
    <row r="18" ht="19.5" customFormat="1" customHeight="1" s="3">
      <c r="A18" s="1" t="n"/>
      <c r="B18" s="40" t="n">
        <v>9</v>
      </c>
      <c r="C18" s="41">
        <f>SUM('9'!C10:C33)</f>
        <v/>
      </c>
      <c r="D18" s="41">
        <f>SUM('9'!D10:D33)</f>
        <v/>
      </c>
      <c r="E18" s="41">
        <f>SUM('9'!E10:E33)</f>
        <v/>
      </c>
      <c r="F18" s="41">
        <f>SUM('9'!F10:F33)</f>
        <v/>
      </c>
      <c r="G18" s="41">
        <f>SUM('9'!G10:G33)</f>
        <v/>
      </c>
      <c r="H18" s="42">
        <f>SUM(C18:G18)</f>
        <v/>
      </c>
      <c r="I18" s="41">
        <f>SUM('9'!I10:I33)</f>
        <v/>
      </c>
      <c r="J18" s="41">
        <f>SUM('9'!J10:J33)</f>
        <v/>
      </c>
      <c r="K18" s="41">
        <f>SUM('9'!K10:K33)</f>
        <v/>
      </c>
      <c r="L18" s="41" t="n"/>
      <c r="M18" s="43" t="n"/>
      <c r="O18" s="4" t="n"/>
    </row>
    <row r="19" ht="19.5" customFormat="1" customHeight="1" s="3">
      <c r="A19" s="1" t="n"/>
      <c r="B19" s="40" t="n">
        <v>10</v>
      </c>
      <c r="C19" s="41">
        <f>SUM('19'!C10:C33)</f>
        <v/>
      </c>
      <c r="D19" s="41">
        <f>SUM('10'!D10:D33)</f>
        <v/>
      </c>
      <c r="E19" s="41">
        <f>SUM('10'!E10:E33)</f>
        <v/>
      </c>
      <c r="F19" s="41">
        <f>SUM('10'!F10:F33)</f>
        <v/>
      </c>
      <c r="G19" s="41">
        <f>SUM('10'!G10:G33)</f>
        <v/>
      </c>
      <c r="H19" s="42">
        <f>SUM(C19:G19)</f>
        <v/>
      </c>
      <c r="I19" s="41" t="n">
        <v>0</v>
      </c>
      <c r="J19" s="41">
        <f>SUM('10'!J10:J33)</f>
        <v/>
      </c>
      <c r="K19" s="41">
        <f>SUM('10'!K10:K33)</f>
        <v/>
      </c>
      <c r="L19" s="41" t="n"/>
      <c r="M19" s="43" t="n"/>
      <c r="O19" s="4" t="n"/>
    </row>
    <row r="20" ht="19.5" customFormat="1" customHeight="1" s="3">
      <c r="A20" s="1" t="n"/>
      <c r="B20" s="40" t="n">
        <v>11</v>
      </c>
      <c r="C20" s="41">
        <f>SUM('11'!C10:C33)</f>
        <v/>
      </c>
      <c r="D20" s="41">
        <f>SUM('11'!D10:D33)</f>
        <v/>
      </c>
      <c r="E20" s="41">
        <f>SUM('11'!E10:E33)</f>
        <v/>
      </c>
      <c r="F20" s="41">
        <f>SUM('11'!F10:F33)</f>
        <v/>
      </c>
      <c r="G20" s="41">
        <f>SUM('11'!G10:G33)</f>
        <v/>
      </c>
      <c r="H20" s="42">
        <f>SUM(C20:G20)</f>
        <v/>
      </c>
      <c r="I20" s="41" t="n">
        <v>0</v>
      </c>
      <c r="J20" s="41">
        <f>SUM('11'!J10:J33)</f>
        <v/>
      </c>
      <c r="K20" s="41">
        <f>SUM('11'!K10:K33)</f>
        <v/>
      </c>
      <c r="L20" s="41" t="n"/>
      <c r="M20" s="43" t="n"/>
      <c r="O20" s="4" t="n"/>
    </row>
    <row r="21" ht="19.5" customFormat="1" customHeight="1" s="3">
      <c r="A21" s="1" t="n"/>
      <c r="B21" s="40" t="n">
        <v>12</v>
      </c>
      <c r="C21" s="41">
        <f>SUM('12'!C10:C33)</f>
        <v/>
      </c>
      <c r="D21" s="41">
        <f>SUM('12'!D10:D33)</f>
        <v/>
      </c>
      <c r="E21" s="41">
        <f>SUM('12'!E10:E33)</f>
        <v/>
      </c>
      <c r="F21" s="41">
        <f>SUM('12'!F10:F33)</f>
        <v/>
      </c>
      <c r="G21" s="41">
        <f>SUM('12'!G10:G33)</f>
        <v/>
      </c>
      <c r="H21" s="42">
        <f>SUM(C21:G21)</f>
        <v/>
      </c>
      <c r="I21" s="41">
        <f>SUM('12'!I10:I33)</f>
        <v/>
      </c>
      <c r="J21" s="41">
        <f>SUM('12'!J10:J33)</f>
        <v/>
      </c>
      <c r="K21" s="41">
        <f>SUM('12'!K10:K33)</f>
        <v/>
      </c>
      <c r="L21" s="41" t="n"/>
      <c r="M21" s="43" t="n"/>
      <c r="O21" s="4" t="n"/>
    </row>
    <row r="22" ht="19.5" customFormat="1" customHeight="1" s="3">
      <c r="A22" s="1" t="n"/>
      <c r="B22" s="40" t="n">
        <v>13</v>
      </c>
      <c r="C22" s="41">
        <f>SUM('13'!C10:C33)</f>
        <v/>
      </c>
      <c r="D22" s="41">
        <f>SUM('13'!D10:D33)</f>
        <v/>
      </c>
      <c r="E22" s="41">
        <f>SUM('13'!E10:E33)</f>
        <v/>
      </c>
      <c r="F22" s="41">
        <f>SUM('13'!F10:F33)</f>
        <v/>
      </c>
      <c r="G22" s="41">
        <f>SUM('13'!G10:G33)</f>
        <v/>
      </c>
      <c r="H22" s="42">
        <f>SUM(C22:G22)</f>
        <v/>
      </c>
      <c r="I22" s="41">
        <f>SUM('13'!I10:I33)</f>
        <v/>
      </c>
      <c r="J22" s="41">
        <f>SUM('13'!J10:J33)</f>
        <v/>
      </c>
      <c r="K22" s="41">
        <f>SUM('13'!K10:K33)</f>
        <v/>
      </c>
      <c r="L22" s="41" t="n"/>
      <c r="M22" s="43" t="n"/>
      <c r="O22" s="4" t="n"/>
    </row>
    <row r="23" ht="19.5" customFormat="1" customHeight="1" s="3">
      <c r="A23" s="1" t="n"/>
      <c r="B23" s="40" t="n">
        <v>14</v>
      </c>
      <c r="C23" s="41">
        <f>SUM('14'!C10:C33)</f>
        <v/>
      </c>
      <c r="D23" s="41">
        <f>SUM('14'!D10:D33)</f>
        <v/>
      </c>
      <c r="E23" s="41">
        <f>SUM('14'!E10:E33)</f>
        <v/>
      </c>
      <c r="F23" s="41">
        <f>SUM('14'!F10:F33)</f>
        <v/>
      </c>
      <c r="G23" s="41">
        <f>SUM('14'!G10:G33)</f>
        <v/>
      </c>
      <c r="H23" s="42">
        <f>SUM(C23:G23)</f>
        <v/>
      </c>
      <c r="I23" s="41">
        <f>SUM('14'!I10:I33)</f>
        <v/>
      </c>
      <c r="J23" s="41">
        <f>SUM('14'!J10:J33)</f>
        <v/>
      </c>
      <c r="K23" s="41">
        <f>SUM('14'!K10:K33)</f>
        <v/>
      </c>
      <c r="L23" s="41" t="n"/>
      <c r="M23" s="43" t="n"/>
      <c r="O23" s="4" t="n"/>
    </row>
    <row r="24" ht="19.5" customFormat="1" customHeight="1" s="3">
      <c r="A24" s="1" t="n"/>
      <c r="B24" s="40" t="n">
        <v>15</v>
      </c>
      <c r="C24" s="41">
        <f>SUM('15'!C10:C33)</f>
        <v/>
      </c>
      <c r="D24" s="41">
        <f>SUM('15'!D10:D33)</f>
        <v/>
      </c>
      <c r="E24" s="41">
        <f>SUM('15'!E10:E33)</f>
        <v/>
      </c>
      <c r="F24" s="41">
        <f>SUM('15'!F10:F33)</f>
        <v/>
      </c>
      <c r="G24" s="41">
        <f>SUM('15'!G10:G33)</f>
        <v/>
      </c>
      <c r="H24" s="42">
        <f>SUM(C24:G24)</f>
        <v/>
      </c>
      <c r="I24" s="41">
        <f>SUM('15'!I10:I33)</f>
        <v/>
      </c>
      <c r="J24" s="41">
        <f>SUM('15'!J10:J33)</f>
        <v/>
      </c>
      <c r="K24" s="41">
        <f>SUM('15'!K10:K33)</f>
        <v/>
      </c>
      <c r="L24" s="41" t="n"/>
      <c r="M24" s="43" t="n"/>
      <c r="O24" s="4" t="n"/>
    </row>
    <row r="25" ht="19.5" customFormat="1" customHeight="1" s="3">
      <c r="A25" s="1" t="n"/>
      <c r="B25" s="40" t="n">
        <v>16</v>
      </c>
      <c r="C25" s="41">
        <f>SUM('16'!C10:C33)</f>
        <v/>
      </c>
      <c r="D25" s="41">
        <f>SUM('16'!D10:D33)</f>
        <v/>
      </c>
      <c r="E25" s="41">
        <f>SUM('16'!E10:E33)</f>
        <v/>
      </c>
      <c r="F25" s="41">
        <f>SUM('16'!F10:F33)</f>
        <v/>
      </c>
      <c r="G25" s="41">
        <f>SUM('16'!G10:G33)</f>
        <v/>
      </c>
      <c r="H25" s="42">
        <f>SUM(C25:G25)</f>
        <v/>
      </c>
      <c r="I25" s="41">
        <f>SUM('16'!I10:I33)</f>
        <v/>
      </c>
      <c r="J25" s="41">
        <f>SUM('16'!J10:J33)</f>
        <v/>
      </c>
      <c r="K25" s="41">
        <f>SUM('16'!K10:K33)</f>
        <v/>
      </c>
      <c r="L25" s="41" t="n"/>
      <c r="M25" s="43" t="n"/>
      <c r="O25" s="4" t="n"/>
    </row>
    <row r="26" ht="19.5" customFormat="1" customHeight="1" s="3">
      <c r="A26" s="1" t="n"/>
      <c r="B26" s="40" t="n">
        <v>17</v>
      </c>
      <c r="C26" s="41">
        <f>SUM('17'!C10:C33)</f>
        <v/>
      </c>
      <c r="D26" s="41">
        <f>SUM('17'!D10:D33)</f>
        <v/>
      </c>
      <c r="E26" s="41">
        <f>SUM('17'!E10:E33)</f>
        <v/>
      </c>
      <c r="F26" s="41">
        <f>SUM('17'!F10:F33)</f>
        <v/>
      </c>
      <c r="G26" s="41">
        <f>SUM('17'!G10:G33)</f>
        <v/>
      </c>
      <c r="H26" s="42">
        <f>SUM(C26:G26)</f>
        <v/>
      </c>
      <c r="I26" s="41">
        <f>SUM('17'!I10:I33)</f>
        <v/>
      </c>
      <c r="J26" s="41">
        <f>SUM('17'!J10:J33)</f>
        <v/>
      </c>
      <c r="K26" s="41">
        <f>SUM('17'!K10:K33)</f>
        <v/>
      </c>
      <c r="L26" s="41" t="n"/>
      <c r="M26" s="43" t="n"/>
      <c r="O26" s="4" t="n"/>
    </row>
    <row r="27" ht="19.5" customFormat="1" customHeight="1" s="3">
      <c r="A27" s="1" t="n"/>
      <c r="B27" s="40" t="n">
        <v>18</v>
      </c>
      <c r="C27" s="41">
        <f>SUM('18'!C10:C33)</f>
        <v/>
      </c>
      <c r="D27" s="41">
        <f>SUM('18'!D10:D33)</f>
        <v/>
      </c>
      <c r="E27" s="41">
        <f>SUM('18'!E10:E33)</f>
        <v/>
      </c>
      <c r="F27" s="41">
        <f>SUM('18'!F10:F33)</f>
        <v/>
      </c>
      <c r="G27" s="41">
        <f>SUM('18'!G10:G33)</f>
        <v/>
      </c>
      <c r="H27" s="42">
        <f>SUM(C27:G27)</f>
        <v/>
      </c>
      <c r="I27" s="41">
        <f>SUM('18'!I10:I33)</f>
        <v/>
      </c>
      <c r="J27" s="41">
        <f>SUM('18'!J10:J33)</f>
        <v/>
      </c>
      <c r="K27" s="41">
        <f>SUM('18'!K10:K33)</f>
        <v/>
      </c>
      <c r="L27" s="41" t="n"/>
      <c r="M27" s="43" t="n"/>
      <c r="O27" s="4" t="n"/>
    </row>
    <row r="28" ht="19.5" customFormat="1" customHeight="1" s="3">
      <c r="A28" s="1" t="n"/>
      <c r="B28" s="40" t="n">
        <v>19</v>
      </c>
      <c r="C28" s="41">
        <f>SUM('19'!C10:C33)</f>
        <v/>
      </c>
      <c r="D28" s="41">
        <f>SUM('19'!D10:D33)</f>
        <v/>
      </c>
      <c r="E28" s="41">
        <f>SUM('19'!E10:E33)</f>
        <v/>
      </c>
      <c r="F28" s="41">
        <f>SUM('19'!F10:F33)</f>
        <v/>
      </c>
      <c r="G28" s="41">
        <f>SUM('19'!G10:G33)</f>
        <v/>
      </c>
      <c r="H28" s="42">
        <f>SUM(C28:G28)</f>
        <v/>
      </c>
      <c r="I28" s="41">
        <f>SUM('19'!I10:I33)</f>
        <v/>
      </c>
      <c r="J28" s="41">
        <f>SUM('19'!J10:J33)</f>
        <v/>
      </c>
      <c r="K28" s="41">
        <f>SUM('19'!K10:K33)</f>
        <v/>
      </c>
      <c r="L28" s="41" t="n"/>
      <c r="M28" s="43" t="n"/>
      <c r="O28" s="4" t="n"/>
    </row>
    <row r="29" ht="19.5" customFormat="1" customHeight="1" s="3">
      <c r="A29" s="1" t="n"/>
      <c r="B29" s="40" t="n">
        <v>20</v>
      </c>
      <c r="C29" s="41">
        <f>SUM('20'!C10:C33)</f>
        <v/>
      </c>
      <c r="D29" s="41">
        <f>SUM('20'!D10:D33)</f>
        <v/>
      </c>
      <c r="E29" s="41">
        <f>SUM('20'!E10:E33)</f>
        <v/>
      </c>
      <c r="F29" s="41">
        <f>SUM('20'!F10:F33)</f>
        <v/>
      </c>
      <c r="G29" s="41">
        <f>SUM('20'!G10:G33)</f>
        <v/>
      </c>
      <c r="H29" s="42">
        <f>SUM(C29:G29)</f>
        <v/>
      </c>
      <c r="I29" s="41">
        <f>SUM('20'!I10:I33)</f>
        <v/>
      </c>
      <c r="J29" s="41">
        <f>SUM('20'!J10:J33)</f>
        <v/>
      </c>
      <c r="K29" s="41">
        <f>SUM('20'!K10:K33)</f>
        <v/>
      </c>
      <c r="L29" s="41" t="n"/>
      <c r="M29" s="43" t="n"/>
      <c r="O29" s="4" t="n"/>
    </row>
    <row r="30" ht="19.5" customFormat="1" customHeight="1" s="3">
      <c r="A30" s="1" t="n"/>
      <c r="B30" s="40" t="n">
        <v>21</v>
      </c>
      <c r="C30" s="41">
        <f>SUM('21'!C10:C33)</f>
        <v/>
      </c>
      <c r="D30" s="41">
        <f>SUM('21'!D10:D33)</f>
        <v/>
      </c>
      <c r="E30" s="41">
        <f>SUM('21'!E10:E33)</f>
        <v/>
      </c>
      <c r="F30" s="41">
        <f>SUM('21'!F10:F33)</f>
        <v/>
      </c>
      <c r="G30" s="41">
        <f>SUM('21'!G10:G33)</f>
        <v/>
      </c>
      <c r="H30" s="42">
        <f>SUM(C30:G30)</f>
        <v/>
      </c>
      <c r="I30" s="41">
        <f>SUM('21'!I10:I33)</f>
        <v/>
      </c>
      <c r="J30" s="41">
        <f>SUM('21'!J10:J33)</f>
        <v/>
      </c>
      <c r="K30" s="41">
        <f>SUM('21'!K10:K33)</f>
        <v/>
      </c>
      <c r="L30" s="41" t="n"/>
      <c r="M30" s="43" t="n"/>
      <c r="O30" s="4" t="n"/>
    </row>
    <row r="31" ht="19.5" customFormat="1" customHeight="1" s="3">
      <c r="A31" s="1" t="n"/>
      <c r="B31" s="40" t="n">
        <v>22</v>
      </c>
      <c r="C31" s="41">
        <f>SUM('22'!C10:C33)</f>
        <v/>
      </c>
      <c r="D31" s="41">
        <f>SUM('22'!D10:D33)</f>
        <v/>
      </c>
      <c r="E31" s="41">
        <f>SUM('22'!E10:E33)</f>
        <v/>
      </c>
      <c r="F31" s="41">
        <f>SUM('22'!F10:F33)</f>
        <v/>
      </c>
      <c r="G31" s="41">
        <f>SUM('22'!G10:G33)</f>
        <v/>
      </c>
      <c r="H31" s="42">
        <f>SUM(C31:G31)</f>
        <v/>
      </c>
      <c r="I31" s="41">
        <f>SUM('22'!I10:I33)</f>
        <v/>
      </c>
      <c r="J31" s="41">
        <f>SUM('22'!J10:J33)</f>
        <v/>
      </c>
      <c r="K31" s="41">
        <f>SUM('22'!K10:K33)</f>
        <v/>
      </c>
      <c r="L31" s="41" t="n"/>
      <c r="M31" s="43" t="n"/>
      <c r="O31" s="4" t="n"/>
    </row>
    <row r="32" ht="19.5" customFormat="1" customHeight="1" s="3">
      <c r="A32" s="1" t="n"/>
      <c r="B32" s="40" t="n">
        <v>23</v>
      </c>
      <c r="C32" s="41">
        <f>SUM('23'!C10:C33)</f>
        <v/>
      </c>
      <c r="D32" s="41">
        <f>SUM('23'!D10:D33)</f>
        <v/>
      </c>
      <c r="E32" s="41">
        <f>SUM('23'!E10:E33)</f>
        <v/>
      </c>
      <c r="F32" s="41">
        <f>SUM('23'!F10:F33)</f>
        <v/>
      </c>
      <c r="G32" s="41">
        <f>SUM('23'!G10:G33)</f>
        <v/>
      </c>
      <c r="H32" s="42">
        <f>SUM(C32:G32)</f>
        <v/>
      </c>
      <c r="I32" s="41">
        <f>SUM('23'!I10:I33)</f>
        <v/>
      </c>
      <c r="J32" s="41">
        <f>SUM('23'!J10:J33)</f>
        <v/>
      </c>
      <c r="K32" s="41">
        <f>SUM('23'!K10:K33)</f>
        <v/>
      </c>
      <c r="L32" s="41" t="n"/>
      <c r="M32" s="43" t="n"/>
      <c r="O32" s="4" t="n"/>
    </row>
    <row r="33" ht="19.5" customFormat="1" customHeight="1" s="3">
      <c r="A33" s="1" t="n"/>
      <c r="B33" s="40" t="n">
        <v>24</v>
      </c>
      <c r="C33" s="41">
        <f>SUM('24'!C10:C33)</f>
        <v/>
      </c>
      <c r="D33" s="41">
        <f>SUM('24'!D10:D33)</f>
        <v/>
      </c>
      <c r="E33" s="41">
        <f>SUM('24'!E10:E33)</f>
        <v/>
      </c>
      <c r="F33" s="41">
        <f>SUM('24'!F10:F33)</f>
        <v/>
      </c>
      <c r="G33" s="41">
        <f>SUM('24'!G10:G33)</f>
        <v/>
      </c>
      <c r="H33" s="42">
        <f>SUM(C33:G33)</f>
        <v/>
      </c>
      <c r="I33" s="41">
        <f>SUM('24'!I10:I33)</f>
        <v/>
      </c>
      <c r="J33" s="41">
        <f>SUM('24'!J10:J33)</f>
        <v/>
      </c>
      <c r="K33" s="41">
        <f>SUM('24'!K10:K33)</f>
        <v/>
      </c>
      <c r="L33" s="41" t="n"/>
      <c r="M33" s="43" t="n"/>
      <c r="O33" s="4" t="n"/>
    </row>
    <row r="34" ht="19.5" customFormat="1" customHeight="1" s="3">
      <c r="A34" s="1" t="n"/>
      <c r="B34" s="40" t="n">
        <v>25</v>
      </c>
      <c r="C34" s="41">
        <f>SUM('25'!C10:C33)</f>
        <v/>
      </c>
      <c r="D34" s="41">
        <f>SUM('25'!D10:D33)</f>
        <v/>
      </c>
      <c r="E34" s="41">
        <f>SUM('25'!E10:E33)</f>
        <v/>
      </c>
      <c r="F34" s="41">
        <f>SUM('25'!F10:F33)</f>
        <v/>
      </c>
      <c r="G34" s="41">
        <f>SUM('25'!G10:G33)</f>
        <v/>
      </c>
      <c r="H34" s="42">
        <f>SUM(C34:G34)</f>
        <v/>
      </c>
      <c r="I34" s="41">
        <f>SUM('25'!I10:I33)</f>
        <v/>
      </c>
      <c r="J34" s="41">
        <f>SUM('25'!J10:J33)</f>
        <v/>
      </c>
      <c r="K34" s="41">
        <f>SUM('25'!K10:K33)</f>
        <v/>
      </c>
      <c r="L34" s="41" t="n"/>
      <c r="M34" s="43" t="n"/>
      <c r="O34" s="4" t="n"/>
    </row>
    <row r="35" ht="19.5" customFormat="1" customHeight="1" s="3">
      <c r="A35" s="1" t="n"/>
      <c r="B35" s="40" t="n">
        <v>26</v>
      </c>
      <c r="C35" s="41">
        <f>SUM('26'!C11:C33)</f>
        <v/>
      </c>
      <c r="D35" s="41">
        <f>SUM('26'!D11:D33)</f>
        <v/>
      </c>
      <c r="E35" s="41">
        <f>SUM('26'!E11:E33)</f>
        <v/>
      </c>
      <c r="F35" s="41">
        <f>SUM('26'!F11:F33)</f>
        <v/>
      </c>
      <c r="G35" s="41">
        <f>SUM('26'!G11:G33)</f>
        <v/>
      </c>
      <c r="H35" s="42">
        <f>SUM(C35:G35)</f>
        <v/>
      </c>
      <c r="I35" s="41">
        <f>SUM('26'!I10:I33)</f>
        <v/>
      </c>
      <c r="J35" s="41">
        <f>SUM('26'!J10:J33)</f>
        <v/>
      </c>
      <c r="K35" s="41">
        <f>SUM('26'!K10:K33)</f>
        <v/>
      </c>
      <c r="L35" s="41" t="n"/>
      <c r="M35" s="43" t="n"/>
      <c r="O35" s="4" t="n"/>
    </row>
    <row r="36" ht="19.5" customFormat="1" customHeight="1" s="3">
      <c r="A36" s="1" t="n"/>
      <c r="B36" s="40" t="n">
        <v>27</v>
      </c>
      <c r="C36" s="41">
        <f>SUM('27'!C10:C33)</f>
        <v/>
      </c>
      <c r="D36" s="41">
        <f>SUM('27'!D10:D33)</f>
        <v/>
      </c>
      <c r="E36" s="41">
        <f>SUM('27'!E10:E33)</f>
        <v/>
      </c>
      <c r="F36" s="41">
        <f>SUM('27'!F10:F33)</f>
        <v/>
      </c>
      <c r="G36" s="41">
        <f>SUM('27'!G10:G33)</f>
        <v/>
      </c>
      <c r="H36" s="42">
        <f>SUM(C36:G36)</f>
        <v/>
      </c>
      <c r="I36" s="41">
        <f>SUM('27'!I10:I33)</f>
        <v/>
      </c>
      <c r="J36" s="41">
        <f>SUM('27'!J10:J33)</f>
        <v/>
      </c>
      <c r="K36" s="41">
        <f>SUM('27'!K10:K33)</f>
        <v/>
      </c>
      <c r="L36" s="41" t="n"/>
      <c r="M36" s="43" t="n"/>
      <c r="O36" s="4" t="n"/>
    </row>
    <row r="37" ht="19.5" customFormat="1" customHeight="1" s="3">
      <c r="A37" s="1" t="n"/>
      <c r="B37" s="40" t="n">
        <v>28</v>
      </c>
      <c r="C37" s="41">
        <f>SUM('28'!C10:C30)</f>
        <v/>
      </c>
      <c r="D37" s="41">
        <f>SUM('28'!D10:D30)</f>
        <v/>
      </c>
      <c r="E37" s="41">
        <f>SUM('28'!E10:E30)</f>
        <v/>
      </c>
      <c r="F37" s="41">
        <f>SUM('28'!F10:F30)</f>
        <v/>
      </c>
      <c r="G37" s="41">
        <f>SUM('28'!G10:G30)</f>
        <v/>
      </c>
      <c r="H37" s="42">
        <f>SUM(C37:G37)</f>
        <v/>
      </c>
      <c r="I37" s="41">
        <f>SUM('28'!I10:I33)</f>
        <v/>
      </c>
      <c r="J37" s="41">
        <f>SUM('28'!J10:J33)</f>
        <v/>
      </c>
      <c r="K37" s="41">
        <f>SUM('28'!K10:K33)</f>
        <v/>
      </c>
      <c r="L37" s="41" t="n"/>
      <c r="M37" s="43" t="n"/>
      <c r="O37" s="4" t="n"/>
    </row>
    <row r="38" ht="19.5" customFormat="1" customHeight="1" s="3">
      <c r="A38" s="1" t="n"/>
      <c r="B38" s="40" t="n">
        <v>29</v>
      </c>
      <c r="C38" s="41">
        <f>SUM('29'!C10:C33)</f>
        <v/>
      </c>
      <c r="D38" s="41">
        <f>SUM('29'!D10:D33)</f>
        <v/>
      </c>
      <c r="E38" s="41">
        <f>SUM('29'!E10:E33)</f>
        <v/>
      </c>
      <c r="F38" s="41">
        <f>SUM('29'!F10:F33)</f>
        <v/>
      </c>
      <c r="G38" s="41">
        <f>SUM('29'!G10:G33)</f>
        <v/>
      </c>
      <c r="H38" s="42">
        <f>SUM(C38:G38)</f>
        <v/>
      </c>
      <c r="I38" s="41">
        <f>SUM('29'!I10:I33)</f>
        <v/>
      </c>
      <c r="J38" s="41">
        <f>SUM('29'!J10:J33)</f>
        <v/>
      </c>
      <c r="K38" s="41">
        <f>SUM('29'!K10:K33)</f>
        <v/>
      </c>
      <c r="L38" s="41" t="n"/>
      <c r="M38" s="43" t="n"/>
      <c r="O38" s="4" t="n"/>
    </row>
    <row r="39" ht="19.5" customFormat="1" customHeight="1" s="3">
      <c r="A39" s="1" t="n"/>
      <c r="B39" s="40" t="n">
        <v>30</v>
      </c>
      <c r="C39" s="41">
        <f>SUM('30'!C10:C33)</f>
        <v/>
      </c>
      <c r="D39" s="41">
        <f>SUM('30'!D10:D33)</f>
        <v/>
      </c>
      <c r="E39" s="41">
        <f>SUM('30'!E10:E33)</f>
        <v/>
      </c>
      <c r="F39" s="41">
        <f>SUM('30'!F10:F33)</f>
        <v/>
      </c>
      <c r="G39" s="41">
        <f>SUM('30'!G10:G33)</f>
        <v/>
      </c>
      <c r="H39" s="42">
        <f>SUM(C39:G39)</f>
        <v/>
      </c>
      <c r="I39" s="41">
        <f>SUM('30'!I10:I33)</f>
        <v/>
      </c>
      <c r="J39" s="41">
        <f>SUM('30'!J10:J33)</f>
        <v/>
      </c>
      <c r="K39" s="41">
        <f>SUM('30'!K10:K33)</f>
        <v/>
      </c>
      <c r="L39" s="41" t="n"/>
      <c r="M39" s="43" t="n"/>
      <c r="O39" s="4" t="n"/>
    </row>
    <row r="40" ht="19.5" customFormat="1" customHeight="1" s="3" thickBot="1">
      <c r="A40" s="1" t="n"/>
      <c r="B40" s="40" t="n">
        <v>31</v>
      </c>
      <c r="C40" s="41">
        <f>SUM('31'!C10:C33)</f>
        <v/>
      </c>
      <c r="D40" s="41">
        <f>SUM('31'!D10:D33)</f>
        <v/>
      </c>
      <c r="E40" s="41">
        <f>SUM('31'!E10:E33)</f>
        <v/>
      </c>
      <c r="F40" s="41">
        <f>SUM('31'!F10:F33)</f>
        <v/>
      </c>
      <c r="G40" s="41">
        <f>SUM('31'!G10:G33)</f>
        <v/>
      </c>
      <c r="H40" s="42">
        <f>SUM(C40:G40)</f>
        <v/>
      </c>
      <c r="I40" s="41">
        <f>SUM('31'!I10:I33)</f>
        <v/>
      </c>
      <c r="J40" s="41">
        <f>SUM('31'!J10:J33)</f>
        <v/>
      </c>
      <c r="K40" s="41">
        <f>SUM('31'!K10:K33)</f>
        <v/>
      </c>
      <c r="L40" s="41" t="n"/>
      <c r="M40" s="43" t="n"/>
      <c r="O40" s="4" t="n"/>
    </row>
    <row r="41" ht="15.75" customHeight="1" thickTop="1">
      <c r="B41" s="108" t="inlineStr">
        <is>
          <t>TOTAL MENSUAL</t>
        </is>
      </c>
      <c r="C41" s="51" t="inlineStr">
        <is>
          <t>COMERCIAL</t>
        </is>
      </c>
      <c r="D41" s="51" t="inlineStr">
        <is>
          <t>OFICIAL</t>
        </is>
      </c>
      <c r="E41" s="51" t="inlineStr">
        <is>
          <t>OTROS</t>
        </is>
      </c>
      <c r="F41" s="51" t="inlineStr">
        <is>
          <t>LOCAL</t>
        </is>
      </c>
      <c r="G41" s="51" t="inlineStr">
        <is>
          <t>SOBREVUELO</t>
        </is>
      </c>
      <c r="H41" s="109" t="inlineStr">
        <is>
          <t>TOTAL MOVIMIENTOS</t>
        </is>
      </c>
      <c r="I41" s="110" t="inlineStr">
        <is>
          <t>IFR</t>
        </is>
      </c>
      <c r="J41" s="76" t="inlineStr">
        <is>
          <t>PISTA</t>
        </is>
      </c>
      <c r="K41" s="111" t="n"/>
      <c r="L41" s="111" t="n"/>
      <c r="M41" s="112" t="n"/>
      <c r="P41" s="1" t="inlineStr">
        <is>
          <t>suma total</t>
        </is>
      </c>
    </row>
    <row r="42">
      <c r="B42" s="113" t="n"/>
      <c r="C42" s="114" t="n"/>
      <c r="D42" s="114" t="n"/>
      <c r="E42" s="114" t="n"/>
      <c r="F42" s="114" t="n"/>
      <c r="G42" s="114" t="n"/>
      <c r="H42" s="114" t="n"/>
      <c r="I42" s="115" t="n"/>
      <c r="J42" s="44">
        <f>J9</f>
        <v/>
      </c>
      <c r="K42" s="45">
        <f>K9</f>
        <v/>
      </c>
      <c r="L42" s="45">
        <f>L9</f>
        <v/>
      </c>
      <c r="M42" s="46">
        <f>M9</f>
        <v/>
      </c>
      <c r="P42" s="1">
        <f>SUM(J43:M43)</f>
        <v/>
      </c>
    </row>
    <row r="43">
      <c r="B43" s="113" t="n"/>
      <c r="C43" s="22">
        <f>SUM(C10:C40)</f>
        <v/>
      </c>
      <c r="D43" s="22">
        <f>SUM(D10:D40)</f>
        <v/>
      </c>
      <c r="E43" s="22">
        <f>SUM(E10:E40)</f>
        <v/>
      </c>
      <c r="F43" s="22">
        <f>SUM(F10:F40)</f>
        <v/>
      </c>
      <c r="G43" s="22">
        <f>SUM(G10:G40)</f>
        <v/>
      </c>
      <c r="H43" s="22">
        <f>SUM(H10:H40)</f>
        <v/>
      </c>
      <c r="I43" s="29">
        <f>SUM(I10:I40)</f>
        <v/>
      </c>
      <c r="J43" s="35">
        <f>SUM(J10:J40)</f>
        <v/>
      </c>
      <c r="K43" s="22">
        <f>SUM(K10:K40)</f>
        <v/>
      </c>
      <c r="L43" s="22">
        <f>SUM(L10:L40)</f>
        <v/>
      </c>
      <c r="M43" s="23">
        <f>SUM(M10:M40)</f>
        <v/>
      </c>
    </row>
    <row r="44" ht="15.75" customHeight="1" thickBot="1">
      <c r="B44" s="116" t="n"/>
      <c r="C44" s="16">
        <f>((C43*100)/$H$43)/100</f>
        <v/>
      </c>
      <c r="D44" s="16">
        <f>((D43*100)/$H$43)/100</f>
        <v/>
      </c>
      <c r="E44" s="16">
        <f>((E43*100)/$H$43)/100</f>
        <v/>
      </c>
      <c r="F44" s="16">
        <f>((F43*100)/$H$43)/100</f>
        <v/>
      </c>
      <c r="G44" s="16">
        <f>((G43*100)/$H$43)/100</f>
        <v/>
      </c>
      <c r="H44" s="16">
        <f>((H43*100)/$H$43)/100</f>
        <v/>
      </c>
      <c r="I44" s="30">
        <f>((I43*100)/$H$43)/100</f>
        <v/>
      </c>
      <c r="J44" s="36">
        <f>((J43*100)/$P$42)/100</f>
        <v/>
      </c>
      <c r="K44" s="17">
        <f>((K43*100)/$P$42)/100</f>
        <v/>
      </c>
      <c r="L44" s="17">
        <f>((L43*100)/$P$42)/100</f>
        <v/>
      </c>
      <c r="M44" s="24">
        <f>((M43*100)/$P$42)/100</f>
        <v/>
      </c>
    </row>
    <row r="45" ht="15.75" customHeight="1" thickTop="1"/>
    <row r="48">
      <c r="F48" s="5" t="n"/>
      <c r="G48" s="5" t="n"/>
      <c r="H48" s="5" t="n"/>
      <c r="I48" s="5" t="n"/>
    </row>
    <row r="49">
      <c r="F49" s="50" t="inlineStr">
        <is>
          <t>Firma y aclaración del responsable</t>
        </is>
      </c>
      <c r="G49" s="117" t="n"/>
      <c r="H49" s="117" t="n"/>
      <c r="I49" s="117" t="n"/>
    </row>
  </sheetData>
  <sheetProtection selectLockedCells="1" selectUnlockedCells="0" sheet="1" objects="1" insertRows="1" insertHyperlinks="1" autoFilter="1" scenarios="1" formatColumns="1" deleteColumns="1" insertColumns="1" pivotTables="1" deleteRows="1" formatCells="1" formatRows="1" sort="1" password="DE06"/>
  <mergeCells count="23">
    <mergeCell ref="E8:E9"/>
    <mergeCell ref="G8:G9"/>
    <mergeCell ref="B8:B9"/>
    <mergeCell ref="H41:H42"/>
    <mergeCell ref="I41:I42"/>
    <mergeCell ref="F49:I49"/>
    <mergeCell ref="F8:F9"/>
    <mergeCell ref="J8:M8"/>
    <mergeCell ref="C41:C42"/>
    <mergeCell ref="D41:D42"/>
    <mergeCell ref="F41:F42"/>
    <mergeCell ref="C8:C9"/>
    <mergeCell ref="I8:I9"/>
    <mergeCell ref="D8:D9"/>
    <mergeCell ref="E41:E42"/>
    <mergeCell ref="G41:G42"/>
    <mergeCell ref="B4:M4"/>
    <mergeCell ref="I6:K6"/>
    <mergeCell ref="B3:M3"/>
    <mergeCell ref="H8:H9"/>
    <mergeCell ref="B41:B44"/>
    <mergeCell ref="D6:F6"/>
    <mergeCell ref="J41:M41"/>
  </mergeCells>
  <conditionalFormatting sqref="J44:M44">
    <cfRule type="cellIs" priority="1" operator="greaterThan" dxfId="0">
      <formula>1</formula>
    </cfRule>
  </conditionalFormatting>
  <dataValidations count="1">
    <dataValidation sqref="I6" showDropDown="0" showInputMessage="0" showErrorMessage="1" allowBlank="0" errorTitle="FECHA" error="Formato de fecha: DD/MM/AAAA" type="date" errorStyle="warning" operator="greaterThan">
      <formula1>1</formula1>
    </dataValidation>
  </dataValidations>
  <pageMargins left="0.7" right="0.7" top="0.75" bottom="0.75" header="0.3" footer="0.3"/>
  <pageSetup orientation="portrait" paperSize="9" scale="64" verticalDpi="599"/>
  <headerFooter>
    <oddHeader/>
    <oddFooter>&amp;LFecha de impresión: &amp;D&amp;RREV.0&amp;P/&amp;N</oddFooter>
    <evenHeader/>
    <evenFooter/>
    <firstHeader/>
    <firstFooter/>
  </headerFooter>
</worksheet>
</file>

<file path=xl/worksheets/sheet41.xml><?xml version="1.0" encoding="utf-8"?>
<worksheet xmlns="http://schemas.openxmlformats.org/spreadsheetml/2006/main">
  <sheetPr>
    <outlinePr summaryBelow="1" summaryRight="1"/>
    <pageSetUpPr/>
  </sheetPr>
  <dimension ref="A1:L50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 customWidth="1" min="3" max="3"/>
    <col width="10" customWidth="1" min="4" max="4"/>
    <col width="11" customWidth="1" min="5" max="5"/>
    <col width="9" customWidth="1" min="6" max="6"/>
    <col width="10" customWidth="1" min="7" max="7"/>
    <col width="7" customWidth="1" min="8" max="8"/>
    <col width="58" customWidth="1" min="9" max="9"/>
    <col width="22" customWidth="1" min="10" max="10"/>
    <col width="80" customWidth="1" min="11" max="11"/>
    <col width="14" customWidth="1" min="12" max="12"/>
  </cols>
  <sheetData>
    <row r="1">
      <c r="A1" s="125" t="inlineStr">
        <is>
          <t>CLAVE</t>
        </is>
      </c>
      <c r="B1" s="125" t="inlineStr">
        <is>
          <t>FECHA</t>
        </is>
      </c>
      <c r="C1" s="125" t="inlineStr">
        <is>
          <t>HORA_Z</t>
        </is>
      </c>
      <c r="D1" s="125" t="inlineStr">
        <is>
          <t>FRANJA</t>
        </is>
      </c>
      <c r="E1" s="125" t="inlineStr">
        <is>
          <t>CONDICION</t>
        </is>
      </c>
      <c r="F1" s="125" t="inlineStr">
        <is>
          <t>VIS_M</t>
        </is>
      </c>
      <c r="G1" s="125" t="inlineStr">
        <is>
          <t>TECHO_FT</t>
        </is>
      </c>
      <c r="H1" s="125" t="inlineStr">
        <is>
          <t>SPECI</t>
        </is>
      </c>
      <c r="I1" s="125" t="inlineStr">
        <is>
          <t>METAR</t>
        </is>
      </c>
      <c r="J1" s="125" t="inlineStr">
        <is>
          <t>MOTIVO</t>
        </is>
      </c>
      <c r="K1" s="125" t="inlineStr">
        <is>
          <t>TODOS_LOS_REPORTES</t>
        </is>
      </c>
      <c r="L1" s="125" t="inlineStr">
        <is>
          <t>TOKENS_RAROS</t>
        </is>
      </c>
    </row>
    <row r="2">
      <c r="A2" t="n">
        <v>4623500</v>
      </c>
      <c r="B2" s="126" t="n">
        <v>46235</v>
      </c>
      <c r="C2" t="n">
        <v>0</v>
      </c>
      <c r="D2" t="inlineStr">
        <is>
          <t>00 a 01</t>
        </is>
      </c>
      <c r="E2" t="inlineStr">
        <is>
          <t>VMC</t>
        </is>
      </c>
      <c r="F2" t="n">
        <v>8000</v>
      </c>
      <c r="G2" t="n">
        <v>4000</v>
      </c>
      <c r="H2" t="inlineStr">
        <is>
          <t>NO</t>
        </is>
      </c>
      <c r="I2" t="inlineStr">
        <is>
          <t>SADM 010000Z 36009KT 8000 -TSRA FEW037CB OVC040 22/20 Q1002</t>
        </is>
      </c>
      <c r="J2" t="inlineStr">
        <is>
          <t>s/d</t>
        </is>
      </c>
      <c r="K2" t="inlineStr">
        <is>
          <t>SADM 010000Z 36009KT 8000 -TSRA FEW037CB OVC040 22/20 Q1002</t>
        </is>
      </c>
      <c r="L2" t="inlineStr">
        <is>
          <t>-</t>
        </is>
      </c>
    </row>
    <row r="3">
      <c r="A3" t="n">
        <v>4623501</v>
      </c>
      <c r="B3" s="126" t="n">
        <v>46235</v>
      </c>
      <c r="C3" t="n">
        <v>1</v>
      </c>
      <c r="D3" t="inlineStr">
        <is>
          <t>01 a 02</t>
        </is>
      </c>
      <c r="E3" t="inlineStr">
        <is>
          <t>VMC</t>
        </is>
      </c>
      <c r="F3" t="n">
        <v>9000</v>
      </c>
      <c r="G3" t="n">
        <v>4000</v>
      </c>
      <c r="H3" t="inlineStr">
        <is>
          <t>NO</t>
        </is>
      </c>
      <c r="I3" t="inlineStr">
        <is>
          <t>SADM 010100Z 36013KT 9000 -TSRA FEW035CB OVC040 21/20 Q1001</t>
        </is>
      </c>
      <c r="J3" t="inlineStr">
        <is>
          <t>s/d</t>
        </is>
      </c>
      <c r="K3" t="inlineStr">
        <is>
          <t>SADM 010100Z 36013KT 9000 -TSRA FEW035CB OVC040 21/20 Q1001</t>
        </is>
      </c>
      <c r="L3" t="inlineStr">
        <is>
          <t>-</t>
        </is>
      </c>
    </row>
    <row r="4">
      <c r="A4" t="n">
        <v>4623502</v>
      </c>
      <c r="B4" s="126" t="n">
        <v>46235</v>
      </c>
      <c r="C4" t="n">
        <v>2</v>
      </c>
      <c r="D4" t="inlineStr">
        <is>
          <t>02 a 03</t>
        </is>
      </c>
      <c r="E4" t="inlineStr">
        <is>
          <t>VMC</t>
        </is>
      </c>
      <c r="F4" t="n">
        <v>9000</v>
      </c>
      <c r="G4" t="n">
        <v>4000</v>
      </c>
      <c r="H4" t="inlineStr">
        <is>
          <t>NO</t>
        </is>
      </c>
      <c r="I4" t="inlineStr">
        <is>
          <t>SADM 010200Z 27008KT 9000 -TSRA FEW035CB OVC040 20/20 Q1002</t>
        </is>
      </c>
      <c r="J4" t="inlineStr">
        <is>
          <t>s/d</t>
        </is>
      </c>
      <c r="K4" t="inlineStr">
        <is>
          <t>SADM 010200Z 27008KT 9000 -TSRA FEW035CB OVC040 20/20 Q1002</t>
        </is>
      </c>
      <c r="L4" t="inlineStr">
        <is>
          <t>-</t>
        </is>
      </c>
    </row>
    <row r="5">
      <c r="A5" t="n">
        <v>4623503</v>
      </c>
      <c r="B5" s="126" t="n">
        <v>46235</v>
      </c>
      <c r="C5" t="n">
        <v>3</v>
      </c>
      <c r="D5" t="inlineStr">
        <is>
          <t>03 a 04</t>
        </is>
      </c>
      <c r="E5" t="inlineStr">
        <is>
          <t>VMC</t>
        </is>
      </c>
      <c r="F5" t="n">
        <v>9000</v>
      </c>
      <c r="G5" t="n">
        <v>4000</v>
      </c>
      <c r="H5" t="inlineStr">
        <is>
          <t>NO</t>
        </is>
      </c>
      <c r="I5" t="inlineStr">
        <is>
          <t>SADM 010300Z 18015KT 9000 -TSRA FEW032CB OVC040 19/18 Q1005</t>
        </is>
      </c>
      <c r="J5" t="inlineStr">
        <is>
          <t>s/d</t>
        </is>
      </c>
      <c r="K5" t="inlineStr">
        <is>
          <t>SADM 010300Z 18015KT 9000 -TSRA FEW032CB OVC040 19/18 Q1005</t>
        </is>
      </c>
      <c r="L5" t="inlineStr">
        <is>
          <t>-</t>
        </is>
      </c>
    </row>
    <row r="6">
      <c r="A6" t="n">
        <v>4623504</v>
      </c>
      <c r="B6" s="126" t="n">
        <v>46235</v>
      </c>
      <c r="C6" t="n">
        <v>4</v>
      </c>
      <c r="D6" t="inlineStr">
        <is>
          <t>04 a 05</t>
        </is>
      </c>
      <c r="E6" t="inlineStr">
        <is>
          <t>VMC</t>
        </is>
      </c>
      <c r="F6" t="n">
        <v>9000</v>
      </c>
      <c r="G6" t="n">
        <v>5000</v>
      </c>
      <c r="H6" t="inlineStr">
        <is>
          <t>NO</t>
        </is>
      </c>
      <c r="I6" t="inlineStr">
        <is>
          <t>SADM 010400Z 22006KT 9000 -TSRA FEW035CB OVC050 19/18 Q1006</t>
        </is>
      </c>
      <c r="J6" t="inlineStr">
        <is>
          <t>s/d</t>
        </is>
      </c>
      <c r="K6" t="inlineStr">
        <is>
          <t>SADM 010400Z 22006KT 9000 -TSRA FEW035CB OVC050 19/18 Q1006</t>
        </is>
      </c>
      <c r="L6" t="inlineStr">
        <is>
          <t>-</t>
        </is>
      </c>
    </row>
    <row r="7">
      <c r="A7" t="n">
        <v>4623505</v>
      </c>
      <c r="B7" s="126" t="n">
        <v>46235</v>
      </c>
      <c r="C7" t="n">
        <v>5</v>
      </c>
      <c r="D7" t="inlineStr">
        <is>
          <t>05 a 06</t>
        </is>
      </c>
      <c r="E7" t="inlineStr">
        <is>
          <t>VMC</t>
        </is>
      </c>
      <c r="F7" t="n">
        <v>8000</v>
      </c>
      <c r="G7" t="n">
        <v>5000</v>
      </c>
      <c r="H7" t="inlineStr">
        <is>
          <t>NO</t>
        </is>
      </c>
      <c r="I7" t="inlineStr">
        <is>
          <t>SADM 010500Z 25006KT 8000 -TSRA FEW040CB OVC050 18/18 Q1006</t>
        </is>
      </c>
      <c r="J7" t="inlineStr">
        <is>
          <t>s/d</t>
        </is>
      </c>
      <c r="K7" t="inlineStr">
        <is>
          <t>SADM 010500Z 25006KT 8000 -TSRA FEW040CB OVC050 18/18 Q1006</t>
        </is>
      </c>
      <c r="L7" t="inlineStr">
        <is>
          <t>-</t>
        </is>
      </c>
    </row>
    <row r="8">
      <c r="A8" t="n">
        <v>4623506</v>
      </c>
      <c r="B8" s="126" t="n">
        <v>46235</v>
      </c>
      <c r="C8" t="n">
        <v>6</v>
      </c>
      <c r="D8" t="inlineStr">
        <is>
          <t>06 a 07</t>
        </is>
      </c>
      <c r="E8" t="inlineStr">
        <is>
          <t>VMC</t>
        </is>
      </c>
      <c r="F8" t="n">
        <v>8000</v>
      </c>
      <c r="G8" t="n">
        <v>5600</v>
      </c>
      <c r="H8" t="inlineStr">
        <is>
          <t>NO</t>
        </is>
      </c>
      <c r="I8" t="inlineStr">
        <is>
          <t>SADM 010600Z VRB03KT 8000 -TSRA FEW045CB OVC056 18/18 Q1004</t>
        </is>
      </c>
      <c r="J8" t="inlineStr">
        <is>
          <t>s/d</t>
        </is>
      </c>
      <c r="K8" t="inlineStr">
        <is>
          <t>SADM 010600Z VRB03KT 8000 -TSRA FEW045CB OVC056 18/18 Q1004</t>
        </is>
      </c>
      <c r="L8" t="inlineStr">
        <is>
          <t>-</t>
        </is>
      </c>
    </row>
    <row r="9">
      <c r="A9" t="n">
        <v>4623507</v>
      </c>
      <c r="B9" s="126" t="n">
        <v>46235</v>
      </c>
      <c r="C9" t="n">
        <v>7</v>
      </c>
      <c r="D9" t="inlineStr">
        <is>
          <t>07 a 08</t>
        </is>
      </c>
      <c r="E9" t="inlineStr">
        <is>
          <t>VMC</t>
        </is>
      </c>
      <c r="F9" t="n">
        <v>8000</v>
      </c>
      <c r="G9" t="n">
        <v>5000</v>
      </c>
      <c r="H9" t="inlineStr">
        <is>
          <t>NO</t>
        </is>
      </c>
      <c r="I9" t="inlineStr">
        <is>
          <t>SADM 010700Z 23011KT 8000 -RA FEW008 OVC050 18/18 Q1006 RE TS</t>
        </is>
      </c>
      <c r="J9" t="inlineStr">
        <is>
          <t>s/d</t>
        </is>
      </c>
      <c r="K9" t="inlineStr">
        <is>
          <t>SADM 010700Z 23011KT 8000 -RA FEW008 OVC050 18/18 Q1006 RE TS</t>
        </is>
      </c>
      <c r="L9" t="inlineStr">
        <is>
          <t>TS</t>
        </is>
      </c>
    </row>
    <row r="10">
      <c r="A10" s="127" t="n">
        <v>4623508</v>
      </c>
      <c r="B10" s="128" t="n">
        <v>46235</v>
      </c>
      <c r="C10" s="127" t="n">
        <v>8</v>
      </c>
      <c r="D10" s="127" t="inlineStr">
        <is>
          <t>08 a 09</t>
        </is>
      </c>
      <c r="E10" s="127" t="inlineStr">
        <is>
          <t>IMC</t>
        </is>
      </c>
      <c r="F10" s="127" t="inlineStr">
        <is>
          <t>ILIM</t>
        </is>
      </c>
      <c r="G10" s="127" t="n">
        <v>600</v>
      </c>
      <c r="H10" s="127" t="inlineStr">
        <is>
          <t>NO</t>
        </is>
      </c>
      <c r="I10" s="127" t="inlineStr">
        <is>
          <t>SADM 010800Z 20010KT 9999 OVC006 18/17 Q1007</t>
        </is>
      </c>
      <c r="J10" s="127" t="inlineStr">
        <is>
          <t>techo 600 ft</t>
        </is>
      </c>
      <c r="K10" s="127" t="inlineStr">
        <is>
          <t>SADM 010800Z 20010KT 9999 OVC006 18/17 Q1007</t>
        </is>
      </c>
      <c r="L10" s="127" t="inlineStr">
        <is>
          <t>-</t>
        </is>
      </c>
    </row>
    <row r="11">
      <c r="A11" s="127" t="n">
        <v>4623509</v>
      </c>
      <c r="B11" s="128" t="n">
        <v>46235</v>
      </c>
      <c r="C11" s="127" t="n">
        <v>9</v>
      </c>
      <c r="D11" s="127" t="inlineStr">
        <is>
          <t>09 a 10</t>
        </is>
      </c>
      <c r="E11" s="127" t="inlineStr">
        <is>
          <t>IMC</t>
        </is>
      </c>
      <c r="F11" s="127" t="inlineStr">
        <is>
          <t>ILIM</t>
        </is>
      </c>
      <c r="G11" s="127" t="n">
        <v>900</v>
      </c>
      <c r="H11" s="127" t="inlineStr">
        <is>
          <t>NO</t>
        </is>
      </c>
      <c r="I11" s="127" t="inlineStr">
        <is>
          <t>SADM 010900Z 20011KT 9999 OVC009 17/16 Q1008</t>
        </is>
      </c>
      <c r="J11" s="127" t="inlineStr">
        <is>
          <t>techo 900 ft</t>
        </is>
      </c>
      <c r="K11" s="127" t="inlineStr">
        <is>
          <t>SADM 010900Z 20011KT 9999 OVC009 17/16 Q1008</t>
        </is>
      </c>
      <c r="L11" s="127" t="inlineStr">
        <is>
          <t>-</t>
        </is>
      </c>
    </row>
    <row r="12">
      <c r="A12" s="127" t="n">
        <v>4623510</v>
      </c>
      <c r="B12" s="128" t="n">
        <v>46235</v>
      </c>
      <c r="C12" s="127" t="n">
        <v>10</v>
      </c>
      <c r="D12" s="127" t="inlineStr">
        <is>
          <t>10 a 11</t>
        </is>
      </c>
      <c r="E12" s="127" t="inlineStr">
        <is>
          <t>IMC</t>
        </is>
      </c>
      <c r="F12" s="127" t="inlineStr">
        <is>
          <t>ILIM</t>
        </is>
      </c>
      <c r="G12" s="127" t="n">
        <v>1100</v>
      </c>
      <c r="H12" s="127" t="inlineStr">
        <is>
          <t>NO</t>
        </is>
      </c>
      <c r="I12" s="127" t="inlineStr">
        <is>
          <t>SADM 011000Z 19016KT 9999 OVC011 16/15 Q1007</t>
        </is>
      </c>
      <c r="J12" s="127" t="inlineStr">
        <is>
          <t>techo 1100 ft</t>
        </is>
      </c>
      <c r="K12" s="127" t="inlineStr">
        <is>
          <t>SADM 011000Z 19016KT 9999 OVC011 16/15 Q1007</t>
        </is>
      </c>
      <c r="L12" s="127" t="inlineStr">
        <is>
          <t>-</t>
        </is>
      </c>
    </row>
    <row r="13">
      <c r="A13" t="n">
        <v>4623511</v>
      </c>
      <c r="B13" s="126" t="n">
        <v>46235</v>
      </c>
      <c r="C13" t="n">
        <v>11</v>
      </c>
      <c r="D13" t="inlineStr">
        <is>
          <t>11 a 12</t>
        </is>
      </c>
      <c r="E13" t="inlineStr">
        <is>
          <t>VMC</t>
        </is>
      </c>
      <c r="F13" t="inlineStr">
        <is>
          <t>ILIM</t>
        </is>
      </c>
      <c r="G13" t="n">
        <v>2500</v>
      </c>
      <c r="H13" t="inlineStr">
        <is>
          <t>NO</t>
        </is>
      </c>
      <c r="I13" t="inlineStr">
        <is>
          <t>SADM 011100Z 18010KT 9999 SCT012 OVC025 16/14 Q1010</t>
        </is>
      </c>
      <c r="J13" t="inlineStr">
        <is>
          <t>s/d</t>
        </is>
      </c>
      <c r="K13" t="inlineStr">
        <is>
          <t>SADM 011100Z 18010KT 9999 SCT012 OVC025 16/14 Q1010</t>
        </is>
      </c>
      <c r="L13" t="inlineStr">
        <is>
          <t>-</t>
        </is>
      </c>
    </row>
    <row r="14">
      <c r="A14" t="n">
        <v>4623512</v>
      </c>
      <c r="B14" s="126" t="n">
        <v>46235</v>
      </c>
      <c r="C14" t="n">
        <v>12</v>
      </c>
      <c r="D14" t="inlineStr">
        <is>
          <t>12 a 13</t>
        </is>
      </c>
      <c r="E14" t="inlineStr">
        <is>
          <t>VMC</t>
        </is>
      </c>
      <c r="F14" t="inlineStr">
        <is>
          <t>ILIM</t>
        </is>
      </c>
      <c r="G14" t="n">
        <v>2200</v>
      </c>
      <c r="H14" t="inlineStr">
        <is>
          <t>NO</t>
        </is>
      </c>
      <c r="I14" t="inlineStr">
        <is>
          <t>SADM 011200Z 18006KT 9999 SCT015 OVC022 16/14 Q1010</t>
        </is>
      </c>
      <c r="J14" t="inlineStr">
        <is>
          <t>s/d</t>
        </is>
      </c>
      <c r="K14" t="inlineStr">
        <is>
          <t>SADM 011200Z 18006KT 9999 SCT015 OVC022 16/14 Q1010</t>
        </is>
      </c>
      <c r="L14" t="inlineStr">
        <is>
          <t>-</t>
        </is>
      </c>
    </row>
    <row r="15">
      <c r="A15" t="n">
        <v>4623513</v>
      </c>
      <c r="B15" s="126" t="n">
        <v>46235</v>
      </c>
      <c r="C15" t="n">
        <v>13</v>
      </c>
      <c r="D15" t="inlineStr">
        <is>
          <t>13 a 14</t>
        </is>
      </c>
      <c r="E15" t="inlineStr">
        <is>
          <t>VMC</t>
        </is>
      </c>
      <c r="F15" t="inlineStr">
        <is>
          <t>ILIM</t>
        </is>
      </c>
      <c r="G15" t="n">
        <v>2500</v>
      </c>
      <c r="H15" t="inlineStr">
        <is>
          <t>NO</t>
        </is>
      </c>
      <c r="I15" t="inlineStr">
        <is>
          <t>SADM 011300Z 20007KT 9999 BKN025 OVC100 16/14 Q1012</t>
        </is>
      </c>
      <c r="J15" t="inlineStr">
        <is>
          <t>s/d</t>
        </is>
      </c>
      <c r="K15" t="inlineStr">
        <is>
          <t>SADM 011300Z 20007KT 9999 BKN025 OVC100 16/14 Q1012</t>
        </is>
      </c>
      <c r="L15" t="inlineStr">
        <is>
          <t>-</t>
        </is>
      </c>
    </row>
    <row r="16">
      <c r="A16" s="127" t="n">
        <v>4623514</v>
      </c>
      <c r="B16" s="128" t="n">
        <v>46235</v>
      </c>
      <c r="C16" s="127" t="n">
        <v>14</v>
      </c>
      <c r="D16" s="127" t="inlineStr">
        <is>
          <t>14 a 15</t>
        </is>
      </c>
      <c r="E16" s="127" t="inlineStr">
        <is>
          <t>IMC</t>
        </is>
      </c>
      <c r="F16" s="127" t="inlineStr">
        <is>
          <t>ILIM</t>
        </is>
      </c>
      <c r="G16" s="127" t="n">
        <v>800</v>
      </c>
      <c r="H16" s="127" t="inlineStr">
        <is>
          <t>NO</t>
        </is>
      </c>
      <c r="I16" s="127" t="inlineStr">
        <is>
          <t>SADM 011400Z 20009KT 9999 BKN008 OVC025 16/15 Q1012</t>
        </is>
      </c>
      <c r="J16" s="127" t="inlineStr">
        <is>
          <t>techo 800 ft</t>
        </is>
      </c>
      <c r="K16" s="127" t="inlineStr">
        <is>
          <t>SADM 011400Z 20009KT 9999 BKN008 OVC025 16/15 Q1012</t>
        </is>
      </c>
      <c r="L16" s="127" t="inlineStr">
        <is>
          <t>-</t>
        </is>
      </c>
    </row>
    <row r="17">
      <c r="A17" t="n">
        <v>4623515</v>
      </c>
      <c r="B17" s="126" t="n">
        <v>46235</v>
      </c>
      <c r="C17" t="n">
        <v>15</v>
      </c>
      <c r="D17" t="inlineStr">
        <is>
          <t>15 a 16</t>
        </is>
      </c>
      <c r="E17" t="inlineStr">
        <is>
          <t>VMC</t>
        </is>
      </c>
      <c r="F17" t="inlineStr">
        <is>
          <t>ILIM</t>
        </is>
      </c>
      <c r="G17" t="n">
        <v>3000</v>
      </c>
      <c r="H17" t="inlineStr">
        <is>
          <t>NO</t>
        </is>
      </c>
      <c r="I17" t="inlineStr">
        <is>
          <t>SADM 011500Z 18011KT 9999 FEW010 OVC030 16/15 Q1012</t>
        </is>
      </c>
      <c r="J17" t="inlineStr">
        <is>
          <t>s/d</t>
        </is>
      </c>
      <c r="K17" t="inlineStr">
        <is>
          <t>SADM 011500Z 18011KT 9999 FEW010 OVC030 16/15 Q1012</t>
        </is>
      </c>
      <c r="L17" t="inlineStr">
        <is>
          <t>-</t>
        </is>
      </c>
    </row>
    <row r="18">
      <c r="A18" t="n">
        <v>4623516</v>
      </c>
      <c r="B18" s="126" t="n">
        <v>46235</v>
      </c>
      <c r="C18" t="n">
        <v>16</v>
      </c>
      <c r="D18" t="inlineStr">
        <is>
          <t>16 a 17</t>
        </is>
      </c>
      <c r="E18" t="inlineStr">
        <is>
          <t>VMC</t>
        </is>
      </c>
      <c r="F18" t="inlineStr">
        <is>
          <t>ILIM</t>
        </is>
      </c>
      <c r="G18" t="n">
        <v>2000</v>
      </c>
      <c r="H18" t="inlineStr">
        <is>
          <t>NO</t>
        </is>
      </c>
      <c r="I18" t="inlineStr">
        <is>
          <t>SADM 011600Z 18010KT 9999 BKN020 OVC100 17/13 Q1012</t>
        </is>
      </c>
      <c r="J18" t="inlineStr">
        <is>
          <t>s/d</t>
        </is>
      </c>
      <c r="K18" t="inlineStr">
        <is>
          <t>SADM 011600Z 18010KT 9999 BKN020 OVC100 17/13 Q1012</t>
        </is>
      </c>
      <c r="L18" t="inlineStr">
        <is>
          <t>-</t>
        </is>
      </c>
    </row>
    <row r="19">
      <c r="A19" t="n">
        <v>4623517</v>
      </c>
      <c r="B19" s="126" t="n">
        <v>46235</v>
      </c>
      <c r="C19" t="n">
        <v>17</v>
      </c>
      <c r="D19" t="inlineStr">
        <is>
          <t>17 a 18</t>
        </is>
      </c>
      <c r="E19" t="inlineStr">
        <is>
          <t>VMC</t>
        </is>
      </c>
      <c r="F19" t="inlineStr">
        <is>
          <t>ILIM</t>
        </is>
      </c>
      <c r="G19" t="inlineStr">
        <is>
          <t>ILIM</t>
        </is>
      </c>
      <c r="H19" t="inlineStr">
        <is>
          <t>NO</t>
        </is>
      </c>
      <c r="I19" t="inlineStr">
        <is>
          <t>SADM 011700Z 18013KT 9999 FEW025 SCT200 18/13 Q1012</t>
        </is>
      </c>
      <c r="J19" t="inlineStr">
        <is>
          <t>s/d</t>
        </is>
      </c>
      <c r="K19" t="inlineStr">
        <is>
          <t>SADM 011700Z 18013KT 9999 FEW025 SCT200 18/13 Q1012</t>
        </is>
      </c>
      <c r="L19" t="inlineStr">
        <is>
          <t>-</t>
        </is>
      </c>
    </row>
    <row r="20">
      <c r="A20" t="n">
        <v>4623518</v>
      </c>
      <c r="B20" s="126" t="n">
        <v>46235</v>
      </c>
      <c r="C20" t="n">
        <v>18</v>
      </c>
      <c r="D20" t="inlineStr">
        <is>
          <t>18 a 19</t>
        </is>
      </c>
      <c r="E20" t="inlineStr">
        <is>
          <t>VMC</t>
        </is>
      </c>
      <c r="F20" t="inlineStr">
        <is>
          <t>ILIM</t>
        </is>
      </c>
      <c r="G20" t="inlineStr">
        <is>
          <t>ILIM</t>
        </is>
      </c>
      <c r="H20" t="inlineStr">
        <is>
          <t>NO</t>
        </is>
      </c>
      <c r="I20" t="inlineStr">
        <is>
          <t>SADM 011800Z 18012KT 9999 FEW025 19/13 Q1012</t>
        </is>
      </c>
      <c r="J20" t="inlineStr">
        <is>
          <t>s/d</t>
        </is>
      </c>
      <c r="K20" t="inlineStr">
        <is>
          <t>SADM 011800Z 18012KT 9999 FEW025 19/13 Q1012</t>
        </is>
      </c>
      <c r="L20" t="inlineStr">
        <is>
          <t>-</t>
        </is>
      </c>
    </row>
    <row r="21">
      <c r="A21" t="n">
        <v>4623519</v>
      </c>
      <c r="B21" s="126" t="n">
        <v>46235</v>
      </c>
      <c r="C21" t="n">
        <v>19</v>
      </c>
      <c r="D21" t="inlineStr">
        <is>
          <t>19 a 20</t>
        </is>
      </c>
      <c r="E21" t="inlineStr">
        <is>
          <t>VMC</t>
        </is>
      </c>
      <c r="F21" t="inlineStr">
        <is>
          <t>ILIM</t>
        </is>
      </c>
      <c r="G21" t="inlineStr">
        <is>
          <t>ILIM</t>
        </is>
      </c>
      <c r="H21" t="inlineStr">
        <is>
          <t>NO</t>
        </is>
      </c>
      <c r="I21" t="inlineStr">
        <is>
          <t>SADM 011900Z 18009KT CAVOK 20/12 Q1012</t>
        </is>
      </c>
      <c r="J21" t="inlineStr">
        <is>
          <t>s/d</t>
        </is>
      </c>
      <c r="K21" t="inlineStr">
        <is>
          <t>SADM 011900Z 18009KT CAVOK 20/12 Q1012</t>
        </is>
      </c>
      <c r="L21" t="inlineStr">
        <is>
          <t>-</t>
        </is>
      </c>
    </row>
    <row r="22">
      <c r="A22" t="n">
        <v>4623520</v>
      </c>
      <c r="B22" s="126" t="n">
        <v>46235</v>
      </c>
      <c r="C22" t="n">
        <v>20</v>
      </c>
      <c r="D22" t="inlineStr">
        <is>
          <t>20 a 21</t>
        </is>
      </c>
      <c r="E22" t="inlineStr">
        <is>
          <t>VMC</t>
        </is>
      </c>
      <c r="F22" t="inlineStr">
        <is>
          <t>ILIM</t>
        </is>
      </c>
      <c r="G22" t="inlineStr">
        <is>
          <t>ILIM</t>
        </is>
      </c>
      <c r="H22" t="inlineStr">
        <is>
          <t>NO</t>
        </is>
      </c>
      <c r="I22" t="inlineStr">
        <is>
          <t>SADM 012000Z 18007KT CAVOK 19/11 Q1013</t>
        </is>
      </c>
      <c r="J22" t="inlineStr">
        <is>
          <t>s/d</t>
        </is>
      </c>
      <c r="K22" t="inlineStr">
        <is>
          <t>SADM 012000Z 18007KT CAVOK 19/11 Q1013</t>
        </is>
      </c>
      <c r="L22" t="inlineStr">
        <is>
          <t>-</t>
        </is>
      </c>
    </row>
    <row r="23">
      <c r="A23" t="n">
        <v>4623521</v>
      </c>
      <c r="B23" s="126" t="n">
        <v>46235</v>
      </c>
      <c r="C23" t="n">
        <v>21</v>
      </c>
      <c r="D23" t="inlineStr">
        <is>
          <t>21 a 22</t>
        </is>
      </c>
      <c r="E23" t="inlineStr">
        <is>
          <t>VMC</t>
        </is>
      </c>
      <c r="F23" t="inlineStr">
        <is>
          <t>ILIM</t>
        </is>
      </c>
      <c r="G23" t="inlineStr">
        <is>
          <t>ILIM</t>
        </is>
      </c>
      <c r="H23" t="inlineStr">
        <is>
          <t>NO</t>
        </is>
      </c>
      <c r="I23" t="inlineStr">
        <is>
          <t>SADM 012100Z 20006KT CAVOK 17/10 Q1013</t>
        </is>
      </c>
      <c r="J23" t="inlineStr">
        <is>
          <t>s/d</t>
        </is>
      </c>
      <c r="K23" t="inlineStr">
        <is>
          <t>SADM 012100Z 20006KT CAVOK 17/10 Q1013</t>
        </is>
      </c>
      <c r="L23" t="inlineStr">
        <is>
          <t>-</t>
        </is>
      </c>
    </row>
    <row r="24">
      <c r="A24" t="n">
        <v>4623522</v>
      </c>
      <c r="B24" s="126" t="n">
        <v>46235</v>
      </c>
      <c r="C24" t="n">
        <v>22</v>
      </c>
      <c r="D24" t="inlineStr">
        <is>
          <t>22 a 23</t>
        </is>
      </c>
      <c r="E24" t="inlineStr">
        <is>
          <t>VMC</t>
        </is>
      </c>
      <c r="F24" t="inlineStr">
        <is>
          <t>ILIM</t>
        </is>
      </c>
      <c r="G24" t="inlineStr">
        <is>
          <t>ILIM</t>
        </is>
      </c>
      <c r="H24" t="inlineStr">
        <is>
          <t>NO</t>
        </is>
      </c>
      <c r="I24" t="inlineStr">
        <is>
          <t>SADM 012200Z 20005KT CAVOK 16/10 Q1014</t>
        </is>
      </c>
      <c r="J24" t="inlineStr">
        <is>
          <t>s/d</t>
        </is>
      </c>
      <c r="K24" t="inlineStr">
        <is>
          <t>SADM 012200Z 20005KT CAVOK 16/10 Q1014</t>
        </is>
      </c>
      <c r="L24" t="inlineStr">
        <is>
          <t>-</t>
        </is>
      </c>
    </row>
    <row r="25">
      <c r="A25" t="n">
        <v>4623523</v>
      </c>
      <c r="B25" s="126" t="n">
        <v>46235</v>
      </c>
      <c r="C25" t="n">
        <v>23</v>
      </c>
      <c r="D25" t="inlineStr">
        <is>
          <t>23 a 00</t>
        </is>
      </c>
      <c r="E25" t="inlineStr">
        <is>
          <t>VMC</t>
        </is>
      </c>
      <c r="F25" t="inlineStr">
        <is>
          <t>ILIM</t>
        </is>
      </c>
      <c r="G25" t="inlineStr">
        <is>
          <t>ILIM</t>
        </is>
      </c>
      <c r="H25" t="inlineStr">
        <is>
          <t>NO</t>
        </is>
      </c>
      <c r="I25" t="inlineStr">
        <is>
          <t>SADM 012300Z 20004KT CAVOK 15/10 Q1014</t>
        </is>
      </c>
      <c r="J25" t="inlineStr">
        <is>
          <t>s/d</t>
        </is>
      </c>
      <c r="K25" t="inlineStr">
        <is>
          <t>SADM 012300Z 20004KT CAVOK 15/10 Q1014</t>
        </is>
      </c>
      <c r="L25" t="inlineStr">
        <is>
          <t>-</t>
        </is>
      </c>
    </row>
    <row r="26">
      <c r="A26" t="n">
        <v>4623600</v>
      </c>
      <c r="B26" s="126" t="n">
        <v>46236</v>
      </c>
      <c r="C26" t="n">
        <v>0</v>
      </c>
      <c r="D26" t="inlineStr">
        <is>
          <t>00 a 01</t>
        </is>
      </c>
      <c r="E26" t="inlineStr">
        <is>
          <t>VMC</t>
        </is>
      </c>
      <c r="F26" t="inlineStr">
        <is>
          <t>ILIM</t>
        </is>
      </c>
      <c r="G26" t="inlineStr">
        <is>
          <t>ILIM</t>
        </is>
      </c>
      <c r="H26" t="inlineStr">
        <is>
          <t>NO</t>
        </is>
      </c>
      <c r="I26" t="inlineStr">
        <is>
          <t>SADM 020000Z 09002KT CAVOK 12/11 Q1014</t>
        </is>
      </c>
      <c r="J26" t="inlineStr">
        <is>
          <t>s/d</t>
        </is>
      </c>
      <c r="K26" t="inlineStr">
        <is>
          <t>SADM 020000Z 09002KT CAVOK 12/11 Q1014</t>
        </is>
      </c>
      <c r="L26" t="inlineStr">
        <is>
          <t>-</t>
        </is>
      </c>
    </row>
    <row r="27">
      <c r="A27" t="n">
        <v>4623601</v>
      </c>
      <c r="B27" s="126" t="n">
        <v>46236</v>
      </c>
      <c r="C27" t="n">
        <v>1</v>
      </c>
      <c r="D27" t="inlineStr">
        <is>
          <t>01 a 02</t>
        </is>
      </c>
      <c r="E27" t="inlineStr">
        <is>
          <t>VMC</t>
        </is>
      </c>
      <c r="F27" t="inlineStr">
        <is>
          <t>ILIM</t>
        </is>
      </c>
      <c r="G27" t="inlineStr">
        <is>
          <t>ILIM</t>
        </is>
      </c>
      <c r="H27" t="inlineStr">
        <is>
          <t>NO</t>
        </is>
      </c>
      <c r="I27" t="inlineStr">
        <is>
          <t>SADM 020100Z 11002KT CAVOK 12/11 Q1015</t>
        </is>
      </c>
      <c r="J27" t="inlineStr">
        <is>
          <t>s/d</t>
        </is>
      </c>
      <c r="K27" t="inlineStr">
        <is>
          <t>SADM 020100Z 11002KT CAVOK 12/11 Q1015</t>
        </is>
      </c>
      <c r="L27" t="inlineStr">
        <is>
          <t>-</t>
        </is>
      </c>
    </row>
    <row r="28">
      <c r="A28" t="n">
        <v>4623602</v>
      </c>
      <c r="B28" s="126" t="n">
        <v>46236</v>
      </c>
      <c r="C28" t="n">
        <v>2</v>
      </c>
      <c r="D28" t="inlineStr">
        <is>
          <t>02 a 03</t>
        </is>
      </c>
      <c r="E28" t="inlineStr">
        <is>
          <t>VMC</t>
        </is>
      </c>
      <c r="F28" t="inlineStr">
        <is>
          <t>ILIM</t>
        </is>
      </c>
      <c r="G28" t="inlineStr">
        <is>
          <t>ILIM</t>
        </is>
      </c>
      <c r="H28" t="inlineStr">
        <is>
          <t>NO</t>
        </is>
      </c>
      <c r="I28" t="inlineStr">
        <is>
          <t>SADM 020200Z 11001KT CAVOK 11/11 Q1015</t>
        </is>
      </c>
      <c r="J28" t="inlineStr">
        <is>
          <t>s/d</t>
        </is>
      </c>
      <c r="K28" t="inlineStr">
        <is>
          <t>SADM 020200Z 11001KT CAVOK 11/11 Q1015</t>
        </is>
      </c>
      <c r="L28" t="inlineStr">
        <is>
          <t>-</t>
        </is>
      </c>
    </row>
    <row r="29">
      <c r="A29" t="n">
        <v>4623603</v>
      </c>
      <c r="B29" s="126" t="n">
        <v>46236</v>
      </c>
      <c r="C29" t="n">
        <v>3</v>
      </c>
      <c r="D29" t="inlineStr">
        <is>
          <t>03 a 04</t>
        </is>
      </c>
      <c r="E29" t="inlineStr">
        <is>
          <t>VMC</t>
        </is>
      </c>
      <c r="F29" t="n">
        <v>8000</v>
      </c>
      <c r="G29" t="inlineStr">
        <is>
          <t>ILIM</t>
        </is>
      </c>
      <c r="H29" t="inlineStr">
        <is>
          <t>NO</t>
        </is>
      </c>
      <c r="I29" t="inlineStr">
        <is>
          <t>SADM 020300Z 090002KT 8000 MIFG NSC 11/09 Q1015</t>
        </is>
      </c>
      <c r="J29" t="inlineStr">
        <is>
          <t>s/d</t>
        </is>
      </c>
      <c r="K29" t="inlineStr">
        <is>
          <t>SADM 020300Z 090002KT 8000 MIFG NSC 11/09 Q1015</t>
        </is>
      </c>
      <c r="L29" t="inlineStr">
        <is>
          <t>-</t>
        </is>
      </c>
    </row>
    <row r="30">
      <c r="A30" t="n">
        <v>4623604</v>
      </c>
      <c r="B30" s="126" t="n">
        <v>46236</v>
      </c>
      <c r="C30" t="n">
        <v>4</v>
      </c>
      <c r="D30" t="inlineStr">
        <is>
          <t>04 a 05</t>
        </is>
      </c>
      <c r="E30" t="inlineStr">
        <is>
          <t>VMC</t>
        </is>
      </c>
      <c r="F30" t="n">
        <v>8000</v>
      </c>
      <c r="G30" t="inlineStr">
        <is>
          <t>ILIM</t>
        </is>
      </c>
      <c r="H30" t="inlineStr">
        <is>
          <t>NO</t>
        </is>
      </c>
      <c r="I30" t="inlineStr">
        <is>
          <t>SADM 020400Z 14002KT 8000 MIFG NSC 10/09 Q1015</t>
        </is>
      </c>
      <c r="J30" t="inlineStr">
        <is>
          <t>s/d</t>
        </is>
      </c>
      <c r="K30" t="inlineStr">
        <is>
          <t>SADM 020400Z 14002KT 8000 MIFG NSC 10/09 Q1015</t>
        </is>
      </c>
      <c r="L30" t="inlineStr">
        <is>
          <t>-</t>
        </is>
      </c>
    </row>
    <row r="31">
      <c r="A31" t="n">
        <v>4623605</v>
      </c>
      <c r="B31" s="126" t="n">
        <v>46236</v>
      </c>
      <c r="C31" t="n">
        <v>5</v>
      </c>
      <c r="D31" t="inlineStr">
        <is>
          <t>05 a 06</t>
        </is>
      </c>
      <c r="E31" t="inlineStr">
        <is>
          <t>VMC</t>
        </is>
      </c>
      <c r="F31" t="n">
        <v>8000</v>
      </c>
      <c r="G31" t="inlineStr">
        <is>
          <t>ILIM</t>
        </is>
      </c>
      <c r="H31" t="inlineStr">
        <is>
          <t>NO</t>
        </is>
      </c>
      <c r="I31" t="inlineStr">
        <is>
          <t>SADM 020500Z 11002KT 8000 MIFG NSC 10/09 Q1014</t>
        </is>
      </c>
      <c r="J31" t="inlineStr">
        <is>
          <t>s/d</t>
        </is>
      </c>
      <c r="K31" t="inlineStr">
        <is>
          <t>SADM 020500Z 11002KT 8000 MIFG NSC 10/09 Q1014</t>
        </is>
      </c>
      <c r="L31" t="inlineStr">
        <is>
          <t>-</t>
        </is>
      </c>
    </row>
    <row r="32">
      <c r="A32" s="127" t="n">
        <v>4623606</v>
      </c>
      <c r="B32" s="128" t="n">
        <v>46236</v>
      </c>
      <c r="C32" s="127" t="n">
        <v>6</v>
      </c>
      <c r="D32" s="127" t="inlineStr">
        <is>
          <t>06 a 07</t>
        </is>
      </c>
      <c r="E32" s="127" t="inlineStr">
        <is>
          <t>IMC</t>
        </is>
      </c>
      <c r="F32" s="127" t="n">
        <v>7000</v>
      </c>
      <c r="G32" s="127" t="n">
        <v>1400</v>
      </c>
      <c r="H32" s="127" t="inlineStr">
        <is>
          <t>NO</t>
        </is>
      </c>
      <c r="I32" s="127" t="inlineStr">
        <is>
          <t>SADM 020600Z 14002KT 7000 MIFG BKN014 10/09 Q1015</t>
        </is>
      </c>
      <c r="J32" s="127" t="inlineStr">
        <is>
          <t>techo 1400 ft</t>
        </is>
      </c>
      <c r="K32" s="127" t="inlineStr">
        <is>
          <t>SADM 020600Z 14002KT 7000 MIFG BKN014 10/09 Q1015</t>
        </is>
      </c>
      <c r="L32" s="127" t="inlineStr">
        <is>
          <t>-</t>
        </is>
      </c>
    </row>
    <row r="33">
      <c r="A33" t="n">
        <v>4623607</v>
      </c>
      <c r="B33" s="126" t="n">
        <v>46236</v>
      </c>
      <c r="C33" t="n">
        <v>7</v>
      </c>
      <c r="D33" t="inlineStr">
        <is>
          <t>07 a 08</t>
        </is>
      </c>
      <c r="E33" t="inlineStr">
        <is>
          <t>VMC</t>
        </is>
      </c>
      <c r="F33" t="n">
        <v>7000</v>
      </c>
      <c r="G33" t="n">
        <v>1700</v>
      </c>
      <c r="H33" t="inlineStr">
        <is>
          <t>NO</t>
        </is>
      </c>
      <c r="I33" t="inlineStr">
        <is>
          <t>SADM 020700Z 18001KT 7000 MIFG BKN017 10/09 Q1015</t>
        </is>
      </c>
      <c r="J33" t="inlineStr">
        <is>
          <t>s/d</t>
        </is>
      </c>
      <c r="K33" t="inlineStr">
        <is>
          <t>SADM 020700Z 18001KT 7000 MIFG BKN017 10/09 Q1015</t>
        </is>
      </c>
      <c r="L33" t="inlineStr">
        <is>
          <t>-</t>
        </is>
      </c>
    </row>
    <row r="34">
      <c r="A34" s="127" t="n">
        <v>4623608</v>
      </c>
      <c r="B34" s="128" t="n">
        <v>46236</v>
      </c>
      <c r="C34" s="127" t="n">
        <v>8</v>
      </c>
      <c r="D34" s="127" t="inlineStr">
        <is>
          <t>08 a 09</t>
        </is>
      </c>
      <c r="E34" s="127" t="inlineStr">
        <is>
          <t>IMC</t>
        </is>
      </c>
      <c r="F34" s="127" t="n">
        <v>3000</v>
      </c>
      <c r="G34" s="127" t="n">
        <v>1700</v>
      </c>
      <c r="H34" s="127" t="inlineStr">
        <is>
          <t>NO</t>
        </is>
      </c>
      <c r="I34" s="127" t="inlineStr">
        <is>
          <t>SADM 020800Z 16002KT 3000 MIFG BR BKN017 10/10 Q1015</t>
        </is>
      </c>
      <c r="J34" s="127" t="inlineStr">
        <is>
          <t>vis 3000 m</t>
        </is>
      </c>
      <c r="K34" s="127" t="inlineStr">
        <is>
          <t>SADM 020800Z 16002KT 3000 MIFG BR BKN017 10/10 Q1015</t>
        </is>
      </c>
      <c r="L34" s="127" t="inlineStr">
        <is>
          <t>-</t>
        </is>
      </c>
    </row>
    <row r="35">
      <c r="A35" s="127" t="n">
        <v>4623609</v>
      </c>
      <c r="B35" s="128" t="n">
        <v>46236</v>
      </c>
      <c r="C35" s="127" t="n">
        <v>9</v>
      </c>
      <c r="D35" s="127" t="inlineStr">
        <is>
          <t>09 a 10</t>
        </is>
      </c>
      <c r="E35" s="127" t="inlineStr">
        <is>
          <t>IMC</t>
        </is>
      </c>
      <c r="F35" s="127" t="inlineStr">
        <is>
          <t>ILIM</t>
        </is>
      </c>
      <c r="G35" s="127" t="n">
        <v>1000</v>
      </c>
      <c r="H35" s="127" t="inlineStr">
        <is>
          <t>NO</t>
        </is>
      </c>
      <c r="I35" s="127" t="inlineStr">
        <is>
          <t>SADM 020900Z 05003KT 9999 OVC010 12/10 Q1016</t>
        </is>
      </c>
      <c r="J35" s="127" t="inlineStr">
        <is>
          <t>techo 1000 ft</t>
        </is>
      </c>
      <c r="K35" s="127" t="inlineStr">
        <is>
          <t>SADM 020900Z 05003KT 9999 OVC010 12/10 Q1016</t>
        </is>
      </c>
      <c r="L35" s="127" t="inlineStr">
        <is>
          <t>-</t>
        </is>
      </c>
    </row>
    <row r="36">
      <c r="A36" s="127" t="n">
        <v>4623610</v>
      </c>
      <c r="B36" s="128" t="n">
        <v>46236</v>
      </c>
      <c r="C36" s="127" t="n">
        <v>10</v>
      </c>
      <c r="D36" s="127" t="inlineStr">
        <is>
          <t>10 a 11</t>
        </is>
      </c>
      <c r="E36" s="127" t="inlineStr">
        <is>
          <t>IMC</t>
        </is>
      </c>
      <c r="F36" s="127" t="inlineStr">
        <is>
          <t>ILIM</t>
        </is>
      </c>
      <c r="G36" s="127" t="n">
        <v>300</v>
      </c>
      <c r="H36" s="127" t="inlineStr">
        <is>
          <t>NO</t>
        </is>
      </c>
      <c r="I36" s="127" t="inlineStr">
        <is>
          <t>SADM 021000Z 05008KT 9999 OVC003 12/10 Q1016</t>
        </is>
      </c>
      <c r="J36" s="127" t="inlineStr">
        <is>
          <t>techo 300 ft</t>
        </is>
      </c>
      <c r="K36" s="127" t="inlineStr">
        <is>
          <t>SADM 021000Z 05008KT 9999 OVC003 12/10 Q1016</t>
        </is>
      </c>
      <c r="L36" s="127" t="inlineStr">
        <is>
          <t>-</t>
        </is>
      </c>
    </row>
    <row r="37">
      <c r="A37" s="127" t="n">
        <v>4623611</v>
      </c>
      <c r="B37" s="128" t="n">
        <v>46236</v>
      </c>
      <c r="C37" s="127" t="n">
        <v>11</v>
      </c>
      <c r="D37" s="127" t="inlineStr">
        <is>
          <t>11 a 12</t>
        </is>
      </c>
      <c r="E37" s="127" t="inlineStr">
        <is>
          <t>IMC</t>
        </is>
      </c>
      <c r="F37" s="127" t="n">
        <v>8000</v>
      </c>
      <c r="G37" s="127" t="n">
        <v>700</v>
      </c>
      <c r="H37" s="127" t="inlineStr">
        <is>
          <t>NO</t>
        </is>
      </c>
      <c r="I37" s="127" t="inlineStr">
        <is>
          <t>SADM 021100Z 36009KT 8000 OVC007 12/11 Q1016</t>
        </is>
      </c>
      <c r="J37" s="127" t="inlineStr">
        <is>
          <t>techo 700 ft</t>
        </is>
      </c>
      <c r="K37" s="127" t="inlineStr">
        <is>
          <t>SADM 021100Z 36009KT 8000 OVC007 12/11 Q1016</t>
        </is>
      </c>
      <c r="L37" s="127" t="inlineStr">
        <is>
          <t>-</t>
        </is>
      </c>
    </row>
    <row r="38">
      <c r="A38" s="127" t="n">
        <v>4623612</v>
      </c>
      <c r="B38" s="128" t="n">
        <v>46236</v>
      </c>
      <c r="C38" s="127" t="n">
        <v>12</v>
      </c>
      <c r="D38" s="127" t="inlineStr">
        <is>
          <t>12 a 13</t>
        </is>
      </c>
      <c r="E38" s="127" t="inlineStr">
        <is>
          <t>IMC</t>
        </is>
      </c>
      <c r="F38" s="127" t="n">
        <v>8000</v>
      </c>
      <c r="G38" s="127" t="n">
        <v>500</v>
      </c>
      <c r="H38" s="127" t="inlineStr">
        <is>
          <t>NO</t>
        </is>
      </c>
      <c r="I38" s="127" t="inlineStr">
        <is>
          <t>SADM 021200Z 05007KT 8000 OVC005 13/11 Q1016</t>
        </is>
      </c>
      <c r="J38" s="127" t="inlineStr">
        <is>
          <t>techo 500 ft</t>
        </is>
      </c>
      <c r="K38" s="127" t="inlineStr">
        <is>
          <t>SADM 021200Z 05007KT 8000 OVC005 13/11 Q1016</t>
        </is>
      </c>
      <c r="L38" s="127" t="inlineStr">
        <is>
          <t>-</t>
        </is>
      </c>
    </row>
    <row r="39">
      <c r="A39" s="127" t="n">
        <v>4623613</v>
      </c>
      <c r="B39" s="128" t="n">
        <v>46236</v>
      </c>
      <c r="C39" s="127" t="n">
        <v>13</v>
      </c>
      <c r="D39" s="127" t="inlineStr">
        <is>
          <t>13 a 14</t>
        </is>
      </c>
      <c r="E39" s="127" t="inlineStr">
        <is>
          <t>IMC</t>
        </is>
      </c>
      <c r="F39" s="127" t="inlineStr">
        <is>
          <t>ILIM</t>
        </is>
      </c>
      <c r="G39" s="127" t="n">
        <v>600</v>
      </c>
      <c r="H39" s="127" t="inlineStr">
        <is>
          <t>NO</t>
        </is>
      </c>
      <c r="I39" s="127" t="inlineStr">
        <is>
          <t>SADM 021300Z 05006KT 9999 OVC006 13/12 Q1016</t>
        </is>
      </c>
      <c r="J39" s="127" t="inlineStr">
        <is>
          <t>techo 600 ft</t>
        </is>
      </c>
      <c r="K39" s="127" t="inlineStr">
        <is>
          <t>SADM 021300Z 05006KT 9999 OVC006 13/12 Q1016</t>
        </is>
      </c>
      <c r="L39" s="127" t="inlineStr">
        <is>
          <t>-</t>
        </is>
      </c>
    </row>
    <row r="40">
      <c r="A40" s="127" t="n">
        <v>4623614</v>
      </c>
      <c r="B40" s="128" t="n">
        <v>46236</v>
      </c>
      <c r="C40" s="127" t="n">
        <v>14</v>
      </c>
      <c r="D40" s="127" t="inlineStr">
        <is>
          <t>14 a 15</t>
        </is>
      </c>
      <c r="E40" s="127" t="inlineStr">
        <is>
          <t>IMC</t>
        </is>
      </c>
      <c r="F40" s="127" t="inlineStr">
        <is>
          <t>ILIM</t>
        </is>
      </c>
      <c r="G40" s="127" t="n">
        <v>800</v>
      </c>
      <c r="H40" s="127" t="inlineStr">
        <is>
          <t>NO</t>
        </is>
      </c>
      <c r="I40" s="127" t="inlineStr">
        <is>
          <t>SADM 021400Z 05004KT 9999 OVC008 14/12 Q1016</t>
        </is>
      </c>
      <c r="J40" s="127" t="inlineStr">
        <is>
          <t>techo 800 ft</t>
        </is>
      </c>
      <c r="K40" s="127" t="inlineStr">
        <is>
          <t>SADM 021400Z 05004KT 9999 OVC008 14/12 Q1016</t>
        </is>
      </c>
      <c r="L40" s="127" t="inlineStr">
        <is>
          <t>-</t>
        </is>
      </c>
    </row>
    <row r="41">
      <c r="A41" s="127" t="n">
        <v>4623615</v>
      </c>
      <c r="B41" s="128" t="n">
        <v>46236</v>
      </c>
      <c r="C41" s="127" t="n">
        <v>15</v>
      </c>
      <c r="D41" s="127" t="inlineStr">
        <is>
          <t>15 a 16</t>
        </is>
      </c>
      <c r="E41" s="127" t="inlineStr">
        <is>
          <t>IMC</t>
        </is>
      </c>
      <c r="F41" s="127" t="inlineStr">
        <is>
          <t>ILIM</t>
        </is>
      </c>
      <c r="G41" s="127" t="n">
        <v>900</v>
      </c>
      <c r="H41" s="127" t="inlineStr">
        <is>
          <t>NO</t>
        </is>
      </c>
      <c r="I41" s="127" t="inlineStr">
        <is>
          <t>SADM 021500Z 07004KT 9999 OVC009 15/13 Q1016</t>
        </is>
      </c>
      <c r="J41" s="127" t="inlineStr">
        <is>
          <t>techo 900 ft</t>
        </is>
      </c>
      <c r="K41" s="127" t="inlineStr">
        <is>
          <t>SADM 021500Z 07004KT 9999 OVC009 15/13 Q1016</t>
        </is>
      </c>
      <c r="L41" s="127" t="inlineStr">
        <is>
          <t>-</t>
        </is>
      </c>
    </row>
    <row r="42">
      <c r="A42" t="n">
        <v>4623616</v>
      </c>
      <c r="B42" s="126" t="n">
        <v>46236</v>
      </c>
      <c r="C42" t="n">
        <v>16</v>
      </c>
      <c r="D42" t="inlineStr">
        <is>
          <t>16 a 17</t>
        </is>
      </c>
      <c r="E42" t="inlineStr">
        <is>
          <t>VMC</t>
        </is>
      </c>
      <c r="F42" t="inlineStr">
        <is>
          <t>ILIM</t>
        </is>
      </c>
      <c r="G42" t="n">
        <v>20000</v>
      </c>
      <c r="H42" t="inlineStr">
        <is>
          <t>NO</t>
        </is>
      </c>
      <c r="I42" t="inlineStr">
        <is>
          <t>SADM 021600Z 05006KT 9999 SCT013 BKN200 16/13 Q1016</t>
        </is>
      </c>
      <c r="J42" t="inlineStr">
        <is>
          <t>s/d</t>
        </is>
      </c>
      <c r="K42" t="inlineStr">
        <is>
          <t>SADM 021600Z 05006KT 9999 SCT013 BKN200 16/13 Q1016</t>
        </is>
      </c>
      <c r="L42" t="inlineStr">
        <is>
          <t>-</t>
        </is>
      </c>
    </row>
    <row r="43">
      <c r="A43" s="127" t="n">
        <v>4623617</v>
      </c>
      <c r="B43" s="128" t="n">
        <v>46236</v>
      </c>
      <c r="C43" s="127" t="n">
        <v>17</v>
      </c>
      <c r="D43" s="127" t="inlineStr">
        <is>
          <t>17 a 18</t>
        </is>
      </c>
      <c r="E43" s="127" t="inlineStr">
        <is>
          <t>IMC</t>
        </is>
      </c>
      <c r="F43" s="127" t="inlineStr">
        <is>
          <t>ILIM</t>
        </is>
      </c>
      <c r="G43" s="127" t="n">
        <v>900</v>
      </c>
      <c r="H43" s="127" t="inlineStr">
        <is>
          <t>NO</t>
        </is>
      </c>
      <c r="I43" s="127" t="inlineStr">
        <is>
          <t>COR SADM 021700Z 04007KT 9999 OVC009 16/13 Q1015</t>
        </is>
      </c>
      <c r="J43" s="127" t="inlineStr">
        <is>
          <t>techo 900 ft</t>
        </is>
      </c>
      <c r="K43" s="127" t="inlineStr">
        <is>
          <t>COR SADM 021700Z 04007KT 9999 OVC009 16/13 Q1015</t>
        </is>
      </c>
      <c r="L43" s="127" t="inlineStr">
        <is>
          <t>-</t>
        </is>
      </c>
    </row>
    <row r="44">
      <c r="A44" t="n">
        <v>4623618</v>
      </c>
      <c r="B44" s="126" t="n">
        <v>46236</v>
      </c>
      <c r="C44" t="n">
        <v>18</v>
      </c>
      <c r="D44" t="inlineStr">
        <is>
          <t>18 a 19</t>
        </is>
      </c>
      <c r="E44" t="inlineStr">
        <is>
          <t>VMC</t>
        </is>
      </c>
      <c r="F44" t="inlineStr">
        <is>
          <t>ILIM</t>
        </is>
      </c>
      <c r="G44" t="n">
        <v>20000</v>
      </c>
      <c r="H44" t="inlineStr">
        <is>
          <t>NO</t>
        </is>
      </c>
      <c r="I44" t="inlineStr">
        <is>
          <t>SADM 021800Z 05009KT 9999 SCT010 BKN200 17/13 Q1014</t>
        </is>
      </c>
      <c r="J44" t="inlineStr">
        <is>
          <t>s/d</t>
        </is>
      </c>
      <c r="K44" t="inlineStr">
        <is>
          <t>SADM 021800Z 05009KT 9999 SCT010 BKN200 17/13 Q1014</t>
        </is>
      </c>
      <c r="L44" t="inlineStr">
        <is>
          <t>-</t>
        </is>
      </c>
    </row>
    <row r="45">
      <c r="A45" t="n">
        <v>4623619</v>
      </c>
      <c r="B45" s="126" t="n">
        <v>46236</v>
      </c>
      <c r="C45" t="n">
        <v>19</v>
      </c>
      <c r="D45" t="inlineStr">
        <is>
          <t>19 a 20</t>
        </is>
      </c>
      <c r="E45" t="inlineStr">
        <is>
          <t>VMC</t>
        </is>
      </c>
      <c r="F45" t="inlineStr">
        <is>
          <t>ILIM</t>
        </is>
      </c>
      <c r="G45" t="n">
        <v>20000</v>
      </c>
      <c r="H45" t="inlineStr">
        <is>
          <t>NO</t>
        </is>
      </c>
      <c r="I45" t="inlineStr">
        <is>
          <t>SADM 021900Z 02009KT 9999 SCT035 BKN200 18/14 Q1015</t>
        </is>
      </c>
      <c r="J45" t="inlineStr">
        <is>
          <t>s/d</t>
        </is>
      </c>
      <c r="K45" t="inlineStr">
        <is>
          <t>SADM 021900Z 02009KT 9999 SCT035 BKN200 18/14 Q1015</t>
        </is>
      </c>
      <c r="L45" t="inlineStr">
        <is>
          <t>-</t>
        </is>
      </c>
    </row>
    <row r="46">
      <c r="A46" t="n">
        <v>4623620</v>
      </c>
      <c r="B46" s="126" t="n">
        <v>46236</v>
      </c>
      <c r="C46" t="n">
        <v>20</v>
      </c>
      <c r="D46" t="inlineStr">
        <is>
          <t>20 a 21</t>
        </is>
      </c>
      <c r="E46" t="inlineStr">
        <is>
          <t>VMC</t>
        </is>
      </c>
      <c r="F46" t="inlineStr">
        <is>
          <t>ILIM</t>
        </is>
      </c>
      <c r="G46" t="n">
        <v>20000</v>
      </c>
      <c r="H46" t="inlineStr">
        <is>
          <t>NO</t>
        </is>
      </c>
      <c r="I46" t="inlineStr">
        <is>
          <t>SADM 022000Z 05004KT 9999 FEW020 BKN200 18/14 Q1015</t>
        </is>
      </c>
      <c r="J46" t="inlineStr">
        <is>
          <t>s/d</t>
        </is>
      </c>
      <c r="K46" t="inlineStr">
        <is>
          <t>SADM 022000Z 05004KT 9999 FEW020 BKN200 18/14 Q1015</t>
        </is>
      </c>
      <c r="L46" t="inlineStr">
        <is>
          <t>-</t>
        </is>
      </c>
    </row>
    <row r="47">
      <c r="A47" t="n">
        <v>4623621</v>
      </c>
      <c r="B47" s="126" t="n">
        <v>46236</v>
      </c>
      <c r="C47" t="n">
        <v>21</v>
      </c>
      <c r="D47" t="inlineStr">
        <is>
          <t>21 a 22</t>
        </is>
      </c>
      <c r="E47" t="inlineStr">
        <is>
          <t>VMC</t>
        </is>
      </c>
      <c r="F47" t="inlineStr">
        <is>
          <t>ILIM</t>
        </is>
      </c>
      <c r="G47" t="inlineStr">
        <is>
          <t>ILIM</t>
        </is>
      </c>
      <c r="H47" t="inlineStr">
        <is>
          <t>NO</t>
        </is>
      </c>
      <c r="I47" t="inlineStr">
        <is>
          <t>SADM 022100Z 05004KT CAVOK 17/14 Q1015</t>
        </is>
      </c>
      <c r="J47" t="inlineStr">
        <is>
          <t>s/d</t>
        </is>
      </c>
      <c r="K47" t="inlineStr">
        <is>
          <t>SADM 022100Z 05004KT CAVOK 17/14 Q1015</t>
        </is>
      </c>
      <c r="L47" t="inlineStr">
        <is>
          <t>-</t>
        </is>
      </c>
    </row>
    <row r="48">
      <c r="A48" t="n">
        <v>4623622</v>
      </c>
      <c r="B48" s="126" t="n">
        <v>46236</v>
      </c>
      <c r="C48" t="n">
        <v>22</v>
      </c>
      <c r="D48" t="inlineStr">
        <is>
          <t>22 a 23</t>
        </is>
      </c>
      <c r="E48" t="inlineStr">
        <is>
          <t>VMC</t>
        </is>
      </c>
      <c r="F48" t="inlineStr">
        <is>
          <t>ILIM</t>
        </is>
      </c>
      <c r="G48" t="inlineStr">
        <is>
          <t>ILIM</t>
        </is>
      </c>
      <c r="H48" t="inlineStr">
        <is>
          <t>NO</t>
        </is>
      </c>
      <c r="I48" t="inlineStr">
        <is>
          <t>SADM 022200Z 18002KT CAVOK 16/13 Q1016</t>
        </is>
      </c>
      <c r="J48" t="inlineStr">
        <is>
          <t>s/d</t>
        </is>
      </c>
      <c r="K48" t="inlineStr">
        <is>
          <t>SADM 022200Z 18002KT CAVOK 16/13 Q1016</t>
        </is>
      </c>
      <c r="L48" t="inlineStr">
        <is>
          <t>-</t>
        </is>
      </c>
    </row>
    <row r="49">
      <c r="A49" t="n">
        <v>4623623</v>
      </c>
      <c r="B49" s="126" t="n">
        <v>46236</v>
      </c>
      <c r="C49" t="n">
        <v>23</v>
      </c>
      <c r="D49" t="inlineStr">
        <is>
          <t>23 a 00</t>
        </is>
      </c>
      <c r="E49" t="inlineStr">
        <is>
          <t>VMC</t>
        </is>
      </c>
      <c r="F49" t="inlineStr">
        <is>
          <t>ILIM</t>
        </is>
      </c>
      <c r="G49" t="inlineStr">
        <is>
          <t>ILIM</t>
        </is>
      </c>
      <c r="H49" t="inlineStr">
        <is>
          <t>NO</t>
        </is>
      </c>
      <c r="I49" t="inlineStr">
        <is>
          <t>SADM 022300Z 18005KT CAVOK 16/14 Q1017</t>
        </is>
      </c>
      <c r="J49" t="inlineStr">
        <is>
          <t>s/d</t>
        </is>
      </c>
      <c r="K49" t="inlineStr">
        <is>
          <t>SADM 022300Z 18005KT CAVOK 16/14 Q1017</t>
        </is>
      </c>
      <c r="L49" t="inlineStr">
        <is>
          <t>-</t>
        </is>
      </c>
    </row>
    <row r="50">
      <c r="A50" t="n">
        <v>4623700</v>
      </c>
      <c r="B50" s="126" t="n">
        <v>46237</v>
      </c>
      <c r="C50" t="n">
        <v>0</v>
      </c>
      <c r="D50" t="inlineStr">
        <is>
          <t>00 a 01</t>
        </is>
      </c>
      <c r="E50" t="inlineStr">
        <is>
          <t>VMC</t>
        </is>
      </c>
      <c r="F50" t="inlineStr">
        <is>
          <t>ILIM</t>
        </is>
      </c>
      <c r="G50" t="inlineStr">
        <is>
          <t>ILIM</t>
        </is>
      </c>
      <c r="H50" t="inlineStr">
        <is>
          <t>NO</t>
        </is>
      </c>
      <c r="I50" t="inlineStr">
        <is>
          <t>SADM 030000Z 09005KT CAVOK 16/14 Q1017</t>
        </is>
      </c>
      <c r="J50" t="inlineStr">
        <is>
          <t>s/d</t>
        </is>
      </c>
      <c r="K50" t="inlineStr">
        <is>
          <t>SADM 030000Z 09005KT CAVOK 16/14 Q1017</t>
        </is>
      </c>
      <c r="L50" t="inlineStr">
        <is>
          <t>-</t>
        </is>
      </c>
    </row>
    <row r="51">
      <c r="A51" t="n">
        <v>4623701</v>
      </c>
      <c r="B51" s="126" t="n">
        <v>46237</v>
      </c>
      <c r="C51" t="n">
        <v>1</v>
      </c>
      <c r="D51" t="inlineStr">
        <is>
          <t>01 a 02</t>
        </is>
      </c>
      <c r="E51" t="inlineStr">
        <is>
          <t>VMC</t>
        </is>
      </c>
      <c r="F51" t="inlineStr">
        <is>
          <t>ILIM</t>
        </is>
      </c>
      <c r="G51" t="inlineStr">
        <is>
          <t>ILIM</t>
        </is>
      </c>
      <c r="H51" t="inlineStr">
        <is>
          <t>NO</t>
        </is>
      </c>
      <c r="I51" t="inlineStr">
        <is>
          <t>SADM 030100Z 05007KT CAVOK 16/14 Q1016</t>
        </is>
      </c>
      <c r="J51" t="inlineStr">
        <is>
          <t>s/d</t>
        </is>
      </c>
      <c r="K51" t="inlineStr">
        <is>
          <t>SADM 030100Z 05007KT CAVOK 16/14 Q1016</t>
        </is>
      </c>
      <c r="L51" t="inlineStr">
        <is>
          <t>-</t>
        </is>
      </c>
    </row>
    <row r="52">
      <c r="A52" t="n">
        <v>4623702</v>
      </c>
      <c r="B52" s="126" t="n">
        <v>46237</v>
      </c>
      <c r="C52" t="n">
        <v>2</v>
      </c>
      <c r="D52" t="inlineStr">
        <is>
          <t>02 a 03</t>
        </is>
      </c>
      <c r="E52" t="inlineStr">
        <is>
          <t>VMC</t>
        </is>
      </c>
      <c r="F52" t="inlineStr">
        <is>
          <t>ILIM</t>
        </is>
      </c>
      <c r="G52" t="inlineStr">
        <is>
          <t>ILIM</t>
        </is>
      </c>
      <c r="H52" t="inlineStr">
        <is>
          <t>NO</t>
        </is>
      </c>
      <c r="I52" t="inlineStr">
        <is>
          <t>SADM 030200Z 05007KT CAVOK 16/14 Q1016</t>
        </is>
      </c>
      <c r="J52" t="inlineStr">
        <is>
          <t>s/d</t>
        </is>
      </c>
      <c r="K52" t="inlineStr">
        <is>
          <t>SADM 030200Z 05007KT CAVOK 16/14 Q1016</t>
        </is>
      </c>
      <c r="L52" t="inlineStr">
        <is>
          <t>-</t>
        </is>
      </c>
    </row>
    <row r="53">
      <c r="A53" t="n">
        <v>4623703</v>
      </c>
      <c r="B53" s="126" t="n">
        <v>46237</v>
      </c>
      <c r="C53" t="n">
        <v>3</v>
      </c>
      <c r="D53" t="inlineStr">
        <is>
          <t>03 a 04</t>
        </is>
      </c>
      <c r="E53" t="inlineStr">
        <is>
          <t>VMC</t>
        </is>
      </c>
      <c r="F53" t="inlineStr">
        <is>
          <t>ILIM</t>
        </is>
      </c>
      <c r="G53" t="inlineStr">
        <is>
          <t>ILIM</t>
        </is>
      </c>
      <c r="H53" t="inlineStr">
        <is>
          <t>NO</t>
        </is>
      </c>
      <c r="I53" t="inlineStr">
        <is>
          <t>SADM 030300Z 03005KT CAVOK 16/14 Q1017</t>
        </is>
      </c>
      <c r="J53" t="inlineStr">
        <is>
          <t>s/d</t>
        </is>
      </c>
      <c r="K53" t="inlineStr">
        <is>
          <t>SADM 030300Z 03005KT CAVOK 16/14 Q1017</t>
        </is>
      </c>
      <c r="L53" t="inlineStr">
        <is>
          <t>-</t>
        </is>
      </c>
    </row>
    <row r="54">
      <c r="A54" t="n">
        <v>4623704</v>
      </c>
      <c r="B54" s="126" t="n">
        <v>46237</v>
      </c>
      <c r="C54" t="n">
        <v>4</v>
      </c>
      <c r="D54" t="inlineStr">
        <is>
          <t>04 a 05</t>
        </is>
      </c>
      <c r="E54" t="inlineStr">
        <is>
          <t>VMC</t>
        </is>
      </c>
      <c r="F54" t="inlineStr">
        <is>
          <t>ILIM</t>
        </is>
      </c>
      <c r="G54" t="inlineStr">
        <is>
          <t>ILIM</t>
        </is>
      </c>
      <c r="H54" t="inlineStr">
        <is>
          <t>NO</t>
        </is>
      </c>
      <c r="I54" t="inlineStr">
        <is>
          <t>SADM 030400Z 02004KT CAVOK 16/13 Q1017</t>
        </is>
      </c>
      <c r="J54" t="inlineStr">
        <is>
          <t>s/d</t>
        </is>
      </c>
      <c r="K54" t="inlineStr">
        <is>
          <t>SADM 030400Z 02004KT CAVOK 16/13 Q1017</t>
        </is>
      </c>
      <c r="L54" t="inlineStr">
        <is>
          <t>-</t>
        </is>
      </c>
    </row>
    <row r="55">
      <c r="A55" t="n">
        <v>4623705</v>
      </c>
      <c r="B55" s="126" t="n">
        <v>46237</v>
      </c>
      <c r="C55" t="n">
        <v>5</v>
      </c>
      <c r="D55" t="inlineStr">
        <is>
          <t>05 a 06</t>
        </is>
      </c>
      <c r="E55" t="inlineStr">
        <is>
          <t>VMC</t>
        </is>
      </c>
      <c r="F55" t="inlineStr">
        <is>
          <t>ILIM</t>
        </is>
      </c>
      <c r="G55" t="inlineStr">
        <is>
          <t>ILIM</t>
        </is>
      </c>
      <c r="H55" t="inlineStr">
        <is>
          <t>NO</t>
        </is>
      </c>
      <c r="I55" t="inlineStr">
        <is>
          <t>SADM 030500Z 02004KT CAVOK 16/13 Q1017</t>
        </is>
      </c>
      <c r="J55" t="inlineStr">
        <is>
          <t>s/d</t>
        </is>
      </c>
      <c r="K55" t="inlineStr">
        <is>
          <t>SADM 030500Z 02004KT CAVOK 16/13 Q1017</t>
        </is>
      </c>
      <c r="L55" t="inlineStr">
        <is>
          <t>-</t>
        </is>
      </c>
    </row>
    <row r="56">
      <c r="A56" t="n">
        <v>4623706</v>
      </c>
      <c r="B56" s="126" t="n">
        <v>46237</v>
      </c>
      <c r="C56" t="n">
        <v>6</v>
      </c>
      <c r="D56" t="inlineStr">
        <is>
          <t>06 a 07</t>
        </is>
      </c>
      <c r="E56" t="inlineStr">
        <is>
          <t>VMC</t>
        </is>
      </c>
      <c r="F56" t="inlineStr">
        <is>
          <t>ILIM</t>
        </is>
      </c>
      <c r="G56" t="inlineStr">
        <is>
          <t>ILIM</t>
        </is>
      </c>
      <c r="H56" t="inlineStr">
        <is>
          <t>NO</t>
        </is>
      </c>
      <c r="I56" t="inlineStr">
        <is>
          <t>SADM 030600Z 03002KT CAVOK 15/13 Q1016</t>
        </is>
      </c>
      <c r="J56" t="inlineStr">
        <is>
          <t>s/d</t>
        </is>
      </c>
      <c r="K56" t="inlineStr">
        <is>
          <t>SADM 030600Z 03002KT CAVOK 15/13 Q1016</t>
        </is>
      </c>
      <c r="L56" t="inlineStr">
        <is>
          <t>-</t>
        </is>
      </c>
    </row>
    <row r="57">
      <c r="A57" t="n">
        <v>4623707</v>
      </c>
      <c r="B57" s="126" t="n">
        <v>46237</v>
      </c>
      <c r="C57" t="n">
        <v>7</v>
      </c>
      <c r="D57" t="inlineStr">
        <is>
          <t>07 a 08</t>
        </is>
      </c>
      <c r="E57" t="inlineStr">
        <is>
          <t>VMC</t>
        </is>
      </c>
      <c r="F57" t="n">
        <v>9000</v>
      </c>
      <c r="G57" t="inlineStr">
        <is>
          <t>ILIM</t>
        </is>
      </c>
      <c r="H57" t="inlineStr">
        <is>
          <t>NO</t>
        </is>
      </c>
      <c r="I57" t="inlineStr">
        <is>
          <t>SADM 030700Z 09001KT 9000 NSC 13/13 Q1016</t>
        </is>
      </c>
      <c r="J57" t="inlineStr">
        <is>
          <t>s/d</t>
        </is>
      </c>
      <c r="K57" t="inlineStr">
        <is>
          <t>SADM 030700Z 09001KT 9000 NSC 13/13 Q1016</t>
        </is>
      </c>
      <c r="L57" t="inlineStr">
        <is>
          <t>-</t>
        </is>
      </c>
    </row>
    <row r="58">
      <c r="A58" s="127" t="n">
        <v>4623708</v>
      </c>
      <c r="B58" s="128" t="n">
        <v>46237</v>
      </c>
      <c r="C58" s="127" t="n">
        <v>8</v>
      </c>
      <c r="D58" s="127" t="inlineStr">
        <is>
          <t>08 a 09</t>
        </is>
      </c>
      <c r="E58" s="127" t="inlineStr">
        <is>
          <t>IMC</t>
        </is>
      </c>
      <c r="F58" s="127" t="n">
        <v>3000</v>
      </c>
      <c r="G58" s="127" t="inlineStr">
        <is>
          <t>ILIM</t>
        </is>
      </c>
      <c r="H58" s="127" t="inlineStr">
        <is>
          <t>NO</t>
        </is>
      </c>
      <c r="I58" s="127" t="inlineStr">
        <is>
          <t>SADM 030800Z 11001KT 3000 BR NSC 12/12 Q1015</t>
        </is>
      </c>
      <c r="J58" s="127" t="inlineStr">
        <is>
          <t>vis 3000 m</t>
        </is>
      </c>
      <c r="K58" s="127" t="inlineStr">
        <is>
          <t>SADM 030800Z 11001KT 3000 BR NSC 12/12 Q1015</t>
        </is>
      </c>
      <c r="L58" s="127" t="inlineStr">
        <is>
          <t>-</t>
        </is>
      </c>
    </row>
    <row r="59">
      <c r="A59" s="127" t="n">
        <v>4623709</v>
      </c>
      <c r="B59" s="128" t="n">
        <v>46237</v>
      </c>
      <c r="C59" s="127" t="n">
        <v>9</v>
      </c>
      <c r="D59" s="127" t="inlineStr">
        <is>
          <t>09 a 10</t>
        </is>
      </c>
      <c r="E59" s="127" t="inlineStr">
        <is>
          <t>IMC</t>
        </is>
      </c>
      <c r="F59" s="127" t="n">
        <v>3000</v>
      </c>
      <c r="G59" s="127" t="inlineStr">
        <is>
          <t>ILIM</t>
        </is>
      </c>
      <c r="H59" s="127" t="inlineStr">
        <is>
          <t>NO</t>
        </is>
      </c>
      <c r="I59" s="127" t="inlineStr">
        <is>
          <t>SADM 030900Z 09002KT 3000 BR NSC 14/13 Q1015</t>
        </is>
      </c>
      <c r="J59" s="127" t="inlineStr">
        <is>
          <t>vis 3000 m</t>
        </is>
      </c>
      <c r="K59" s="127" t="inlineStr">
        <is>
          <t>SADM 030900Z 09002KT 3000 BR NSC 14/13 Q1015</t>
        </is>
      </c>
      <c r="L59" s="127" t="inlineStr">
        <is>
          <t>-</t>
        </is>
      </c>
    </row>
    <row r="60">
      <c r="A60" t="n">
        <v>4623710</v>
      </c>
      <c r="B60" s="126" t="n">
        <v>46237</v>
      </c>
      <c r="C60" t="n">
        <v>10</v>
      </c>
      <c r="D60" t="inlineStr">
        <is>
          <t>10 a 11</t>
        </is>
      </c>
      <c r="E60" t="inlineStr">
        <is>
          <t>VMC</t>
        </is>
      </c>
      <c r="F60" t="n">
        <v>9000</v>
      </c>
      <c r="G60" t="inlineStr">
        <is>
          <t>ILIM</t>
        </is>
      </c>
      <c r="H60" t="inlineStr">
        <is>
          <t>NO</t>
        </is>
      </c>
      <c r="I60" t="inlineStr">
        <is>
          <t>SADM 031000Z 14002KT 9000 NSC 13/12 Q1015</t>
        </is>
      </c>
      <c r="J60" t="inlineStr">
        <is>
          <t>s/d</t>
        </is>
      </c>
      <c r="K60" t="inlineStr">
        <is>
          <t>SADM 031000Z 14002KT 9000 NSC 13/12 Q1015</t>
        </is>
      </c>
      <c r="L60" t="inlineStr">
        <is>
          <t>-</t>
        </is>
      </c>
    </row>
    <row r="61">
      <c r="A61" s="127" t="n">
        <v>4623711</v>
      </c>
      <c r="B61" s="128" t="n">
        <v>46237</v>
      </c>
      <c r="C61" s="127" t="n">
        <v>11</v>
      </c>
      <c r="D61" s="127" t="inlineStr">
        <is>
          <t>11 a 12</t>
        </is>
      </c>
      <c r="E61" s="127" t="inlineStr">
        <is>
          <t>IMC</t>
        </is>
      </c>
      <c r="F61" s="127" t="n">
        <v>3000</v>
      </c>
      <c r="G61" s="127" t="inlineStr">
        <is>
          <t>ILIM</t>
        </is>
      </c>
      <c r="H61" s="127" t="inlineStr">
        <is>
          <t>NO</t>
        </is>
      </c>
      <c r="I61" s="127" t="inlineStr">
        <is>
          <t>SADM 031100Z 14002KT 3000 BR NSC 14/13 Q1016</t>
        </is>
      </c>
      <c r="J61" s="127" t="inlineStr">
        <is>
          <t>vis 3000 m</t>
        </is>
      </c>
      <c r="K61" s="127" t="inlineStr">
        <is>
          <t>SADM 031100Z 14002KT 3000 BR NSC 14/13 Q1016</t>
        </is>
      </c>
      <c r="L61" s="127" t="inlineStr">
        <is>
          <t>-</t>
        </is>
      </c>
    </row>
    <row r="62">
      <c r="A62" s="127" t="n">
        <v>4623712</v>
      </c>
      <c r="B62" s="128" t="n">
        <v>46237</v>
      </c>
      <c r="C62" s="127" t="n">
        <v>12</v>
      </c>
      <c r="D62" s="127" t="inlineStr">
        <is>
          <t>12 a 13</t>
        </is>
      </c>
      <c r="E62" s="127" t="inlineStr">
        <is>
          <t>IMC</t>
        </is>
      </c>
      <c r="F62" s="127" t="n">
        <v>2500</v>
      </c>
      <c r="G62" s="127" t="inlineStr">
        <is>
          <t>ILIM</t>
        </is>
      </c>
      <c r="H62" s="127" t="inlineStr">
        <is>
          <t>NO</t>
        </is>
      </c>
      <c r="I62" s="127" t="inlineStr">
        <is>
          <t>SADM 031200Z 14004KT 2500 BR NSC 14/14 Q1016</t>
        </is>
      </c>
      <c r="J62" s="127" t="inlineStr">
        <is>
          <t>vis 2500 m</t>
        </is>
      </c>
      <c r="K62" s="127" t="inlineStr">
        <is>
          <t>SADM 031200Z 14004KT 2500 BR NSC 14/14 Q1016</t>
        </is>
      </c>
      <c r="L62" s="127" t="inlineStr">
        <is>
          <t>-</t>
        </is>
      </c>
    </row>
    <row r="63">
      <c r="A63" s="127" t="n">
        <v>4623713</v>
      </c>
      <c r="B63" s="128" t="n">
        <v>46237</v>
      </c>
      <c r="C63" s="127" t="n">
        <v>13</v>
      </c>
      <c r="D63" s="127" t="inlineStr">
        <is>
          <t>13 a 14</t>
        </is>
      </c>
      <c r="E63" s="127" t="inlineStr">
        <is>
          <t>IMC</t>
        </is>
      </c>
      <c r="F63" s="127" t="n">
        <v>3000</v>
      </c>
      <c r="G63" s="127" t="n">
        <v>500</v>
      </c>
      <c r="H63" s="127" t="inlineStr">
        <is>
          <t>NO</t>
        </is>
      </c>
      <c r="I63" s="127" t="inlineStr">
        <is>
          <t>SADM 031300Z 11003KT 3000 BR BKN005 OVC200 15/14 Q1017</t>
        </is>
      </c>
      <c r="J63" s="127" t="inlineStr">
        <is>
          <t>vis 3000 m + techo 500 ft</t>
        </is>
      </c>
      <c r="K63" s="127" t="inlineStr">
        <is>
          <t>SADM 031300Z 11003KT 3000 BR BKN005 OVC200 15/14 Q1017</t>
        </is>
      </c>
      <c r="L63" s="127" t="inlineStr">
        <is>
          <t>-</t>
        </is>
      </c>
    </row>
    <row r="64">
      <c r="A64" s="127" t="n">
        <v>4623714</v>
      </c>
      <c r="B64" s="128" t="n">
        <v>46237</v>
      </c>
      <c r="C64" s="127" t="n">
        <v>14</v>
      </c>
      <c r="D64" s="127" t="inlineStr">
        <is>
          <t>14 a 15</t>
        </is>
      </c>
      <c r="E64" s="127" t="inlineStr">
        <is>
          <t>IMC</t>
        </is>
      </c>
      <c r="F64" s="127" t="n">
        <v>5000</v>
      </c>
      <c r="G64" s="127" t="n">
        <v>700</v>
      </c>
      <c r="H64" s="127" t="inlineStr">
        <is>
          <t>NO</t>
        </is>
      </c>
      <c r="I64" s="127" t="inlineStr">
        <is>
          <t>SADM 031400Z 11005KT 5000 BR OVC007 16/14 Q1017</t>
        </is>
      </c>
      <c r="J64" s="127" t="inlineStr">
        <is>
          <t>techo 700 ft</t>
        </is>
      </c>
      <c r="K64" s="127" t="inlineStr">
        <is>
          <t>SADM 031400Z 11005KT 5000 BR OVC007 16/14 Q1017</t>
        </is>
      </c>
      <c r="L64" s="127" t="inlineStr">
        <is>
          <t>-</t>
        </is>
      </c>
    </row>
    <row r="65">
      <c r="A65" s="127" t="n">
        <v>4623715</v>
      </c>
      <c r="B65" s="128" t="n">
        <v>46237</v>
      </c>
      <c r="C65" s="127" t="n">
        <v>15</v>
      </c>
      <c r="D65" s="127" t="inlineStr">
        <is>
          <t>15 a 16</t>
        </is>
      </c>
      <c r="E65" s="127" t="inlineStr">
        <is>
          <t>IMC</t>
        </is>
      </c>
      <c r="F65" s="127" t="n">
        <v>7000</v>
      </c>
      <c r="G65" s="127" t="n">
        <v>800</v>
      </c>
      <c r="H65" s="127" t="inlineStr">
        <is>
          <t>NO</t>
        </is>
      </c>
      <c r="I65" s="127" t="inlineStr">
        <is>
          <t>SADM 031500Z 14005KT 7000 OVC008 17/15 Q1017</t>
        </is>
      </c>
      <c r="J65" s="127" t="inlineStr">
        <is>
          <t>techo 800 ft</t>
        </is>
      </c>
      <c r="K65" s="127" t="inlineStr">
        <is>
          <t>SADM 031500Z 14005KT 7000 OVC008 17/15 Q1017</t>
        </is>
      </c>
      <c r="L65" s="127" t="inlineStr">
        <is>
          <t>-</t>
        </is>
      </c>
    </row>
    <row r="66">
      <c r="A66" s="127" t="n">
        <v>4623716</v>
      </c>
      <c r="B66" s="128" t="n">
        <v>46237</v>
      </c>
      <c r="C66" s="127" t="n">
        <v>16</v>
      </c>
      <c r="D66" s="127" t="inlineStr">
        <is>
          <t>16 a 17</t>
        </is>
      </c>
      <c r="E66" s="127" t="inlineStr">
        <is>
          <t>IMC</t>
        </is>
      </c>
      <c r="F66" s="127" t="n">
        <v>6000</v>
      </c>
      <c r="G66" s="127" t="n">
        <v>800</v>
      </c>
      <c r="H66" s="127" t="inlineStr">
        <is>
          <t>NO</t>
        </is>
      </c>
      <c r="I66" s="127" t="inlineStr">
        <is>
          <t>SADM 031600Z 11004KT 6000 OVC008 16/14 Q1016</t>
        </is>
      </c>
      <c r="J66" s="127" t="inlineStr">
        <is>
          <t>techo 800 ft</t>
        </is>
      </c>
      <c r="K66" s="127" t="inlineStr">
        <is>
          <t>SADM 031600Z 11004KT 6000 OVC008 16/14 Q1016</t>
        </is>
      </c>
      <c r="L66" s="127" t="inlineStr">
        <is>
          <t>-</t>
        </is>
      </c>
    </row>
    <row r="67">
      <c r="A67" s="127" t="n">
        <v>4623717</v>
      </c>
      <c r="B67" s="128" t="n">
        <v>46237</v>
      </c>
      <c r="C67" s="127" t="n">
        <v>17</v>
      </c>
      <c r="D67" s="127" t="inlineStr">
        <is>
          <t>17 a 18</t>
        </is>
      </c>
      <c r="E67" s="127" t="inlineStr">
        <is>
          <t>IMC</t>
        </is>
      </c>
      <c r="F67" s="127" t="n">
        <v>7000</v>
      </c>
      <c r="G67" s="127" t="n">
        <v>1000</v>
      </c>
      <c r="H67" s="127" t="inlineStr">
        <is>
          <t>NO</t>
        </is>
      </c>
      <c r="I67" s="127" t="inlineStr">
        <is>
          <t>SADM 031700Z 14006KT 7000 SCT007 OVC010 16/14 Q1015</t>
        </is>
      </c>
      <c r="J67" s="127" t="inlineStr">
        <is>
          <t>techo 1000 ft</t>
        </is>
      </c>
      <c r="K67" s="127" t="inlineStr">
        <is>
          <t>SADM 031700Z 14006KT 7000 SCT007 OVC010 16/14 Q1015</t>
        </is>
      </c>
      <c r="L67" s="127" t="inlineStr">
        <is>
          <t>-</t>
        </is>
      </c>
    </row>
    <row r="68">
      <c r="A68" s="127" t="n">
        <v>4623718</v>
      </c>
      <c r="B68" s="128" t="n">
        <v>46237</v>
      </c>
      <c r="C68" s="127" t="n">
        <v>18</v>
      </c>
      <c r="D68" s="127" t="inlineStr">
        <is>
          <t>18 a 19</t>
        </is>
      </c>
      <c r="E68" s="127" t="inlineStr">
        <is>
          <t>IMC</t>
        </is>
      </c>
      <c r="F68" s="127" t="inlineStr">
        <is>
          <t>ILIM</t>
        </is>
      </c>
      <c r="G68" s="127" t="n">
        <v>1100</v>
      </c>
      <c r="H68" s="127" t="inlineStr">
        <is>
          <t>NO</t>
        </is>
      </c>
      <c r="I68" s="127" t="inlineStr">
        <is>
          <t>SADM 031800Z 14008KT 9999 OVC011 16/13 Q1015</t>
        </is>
      </c>
      <c r="J68" s="127" t="inlineStr">
        <is>
          <t>techo 1100 ft</t>
        </is>
      </c>
      <c r="K68" s="127" t="inlineStr">
        <is>
          <t>SADM 031800Z 14008KT 9999 OVC011 16/13 Q1015</t>
        </is>
      </c>
      <c r="L68" s="127" t="inlineStr">
        <is>
          <t>-</t>
        </is>
      </c>
    </row>
    <row r="69">
      <c r="A69" s="127" t="n">
        <v>4623719</v>
      </c>
      <c r="B69" s="128" t="n">
        <v>46237</v>
      </c>
      <c r="C69" s="127" t="n">
        <v>19</v>
      </c>
      <c r="D69" s="127" t="inlineStr">
        <is>
          <t>19 a 20</t>
        </is>
      </c>
      <c r="E69" s="127" t="inlineStr">
        <is>
          <t>IMC</t>
        </is>
      </c>
      <c r="F69" s="127" t="inlineStr">
        <is>
          <t>ILIM</t>
        </is>
      </c>
      <c r="G69" s="127" t="n">
        <v>1200</v>
      </c>
      <c r="H69" s="127" t="inlineStr">
        <is>
          <t>NO</t>
        </is>
      </c>
      <c r="I69" s="127" t="inlineStr">
        <is>
          <t>SADM 031900Z 11006KT 9999 OVC012 16/13 Q1015</t>
        </is>
      </c>
      <c r="J69" s="127" t="inlineStr">
        <is>
          <t>techo 1200 ft</t>
        </is>
      </c>
      <c r="K69" s="127" t="inlineStr">
        <is>
          <t>SADM 031900Z 11006KT 9999 OVC012 16/13 Q1015</t>
        </is>
      </c>
      <c r="L69" s="127" t="inlineStr">
        <is>
          <t>-</t>
        </is>
      </c>
    </row>
    <row r="70">
      <c r="A70" s="127" t="n">
        <v>4623720</v>
      </c>
      <c r="B70" s="128" t="n">
        <v>46237</v>
      </c>
      <c r="C70" s="127" t="n">
        <v>20</v>
      </c>
      <c r="D70" s="127" t="inlineStr">
        <is>
          <t>20 a 21</t>
        </is>
      </c>
      <c r="E70" s="127" t="inlineStr">
        <is>
          <t>IMC</t>
        </is>
      </c>
      <c r="F70" s="127" t="inlineStr">
        <is>
          <t>ILIM</t>
        </is>
      </c>
      <c r="G70" s="127" t="n">
        <v>1200</v>
      </c>
      <c r="H70" s="127" t="inlineStr">
        <is>
          <t>NO</t>
        </is>
      </c>
      <c r="I70" s="127" t="inlineStr">
        <is>
          <t>SADM 032000Z 09007KT 9999 BKN012 OVC050 16/13 Q1015</t>
        </is>
      </c>
      <c r="J70" s="127" t="inlineStr">
        <is>
          <t>techo 1200 ft</t>
        </is>
      </c>
      <c r="K70" s="127" t="inlineStr">
        <is>
          <t>SADM 032000Z 09007KT 9999 BKN012 OVC050 16/13 Q1015</t>
        </is>
      </c>
      <c r="L70" s="127" t="inlineStr">
        <is>
          <t>-</t>
        </is>
      </c>
    </row>
    <row r="71">
      <c r="A71" t="n">
        <v>4623721</v>
      </c>
      <c r="B71" s="126" t="n">
        <v>46237</v>
      </c>
      <c r="C71" t="n">
        <v>21</v>
      </c>
      <c r="D71" t="inlineStr">
        <is>
          <t>21 a 22</t>
        </is>
      </c>
      <c r="E71" t="inlineStr">
        <is>
          <t>VMC</t>
        </is>
      </c>
      <c r="F71" t="inlineStr">
        <is>
          <t>ILIM</t>
        </is>
      </c>
      <c r="G71" t="n">
        <v>1600</v>
      </c>
      <c r="H71" t="inlineStr">
        <is>
          <t>NO</t>
        </is>
      </c>
      <c r="I71" t="inlineStr">
        <is>
          <t>SADM 032100Z 11005KT 9999 OVC016 16/14 Q1015</t>
        </is>
      </c>
      <c r="J71" t="inlineStr">
        <is>
          <t>s/d</t>
        </is>
      </c>
      <c r="K71" t="inlineStr">
        <is>
          <t>SADM 032100Z 11005KT 9999 OVC016 16/14 Q1015</t>
        </is>
      </c>
      <c r="L71" t="inlineStr">
        <is>
          <t>-</t>
        </is>
      </c>
    </row>
    <row r="72">
      <c r="A72" t="n">
        <v>4623722</v>
      </c>
      <c r="B72" s="126" t="n">
        <v>46237</v>
      </c>
      <c r="C72" t="n">
        <v>22</v>
      </c>
      <c r="D72" t="inlineStr">
        <is>
          <t>22 a 23</t>
        </is>
      </c>
      <c r="E72" t="inlineStr">
        <is>
          <t>VMC</t>
        </is>
      </c>
      <c r="F72" t="inlineStr">
        <is>
          <t>ILIM</t>
        </is>
      </c>
      <c r="G72" t="n">
        <v>5600</v>
      </c>
      <c r="H72" t="inlineStr">
        <is>
          <t>NO</t>
        </is>
      </c>
      <c r="I72" t="inlineStr">
        <is>
          <t>SADM 032200Z 11006KT 9999 SCT014 BKN056 15/14 Q1015</t>
        </is>
      </c>
      <c r="J72" t="inlineStr">
        <is>
          <t>s/d</t>
        </is>
      </c>
      <c r="K72" t="inlineStr">
        <is>
          <t>SADM 032200Z 11006KT 9999 SCT014 BKN056 15/14 Q1015</t>
        </is>
      </c>
      <c r="L72" t="inlineStr">
        <is>
          <t>-</t>
        </is>
      </c>
    </row>
    <row r="73">
      <c r="A73" t="n">
        <v>4623723</v>
      </c>
      <c r="B73" s="126" t="n">
        <v>46237</v>
      </c>
      <c r="C73" t="n">
        <v>23</v>
      </c>
      <c r="D73" t="inlineStr">
        <is>
          <t>23 a 00</t>
        </is>
      </c>
      <c r="E73" t="inlineStr">
        <is>
          <t>VMC</t>
        </is>
      </c>
      <c r="F73" t="inlineStr">
        <is>
          <t>ILIM</t>
        </is>
      </c>
      <c r="G73" t="n">
        <v>5600</v>
      </c>
      <c r="H73" t="inlineStr">
        <is>
          <t>NO</t>
        </is>
      </c>
      <c r="I73" t="inlineStr">
        <is>
          <t>SADM 032300Z 09007KT 9999 SCT016 BKN056 15/13 Q1015</t>
        </is>
      </c>
      <c r="J73" t="inlineStr">
        <is>
          <t>s/d</t>
        </is>
      </c>
      <c r="K73" t="inlineStr">
        <is>
          <t>SADM 032300Z 09007KT 9999 SCT016 BKN056 15/13 Q1015</t>
        </is>
      </c>
      <c r="L73" t="inlineStr">
        <is>
          <t>-</t>
        </is>
      </c>
    </row>
    <row r="74">
      <c r="A74" t="n">
        <v>4623800</v>
      </c>
      <c r="B74" s="126" t="n">
        <v>46238</v>
      </c>
      <c r="C74" t="n">
        <v>0</v>
      </c>
      <c r="D74" t="inlineStr">
        <is>
          <t>00 a 01</t>
        </is>
      </c>
      <c r="E74" t="inlineStr">
        <is>
          <t>VMC</t>
        </is>
      </c>
      <c r="F74" t="inlineStr">
        <is>
          <t>ILIM</t>
        </is>
      </c>
      <c r="G74" t="n">
        <v>1500</v>
      </c>
      <c r="H74" t="inlineStr">
        <is>
          <t>NO</t>
        </is>
      </c>
      <c r="I74" t="inlineStr">
        <is>
          <t>SADM 040000Z 14006KT 9999 OVC015 14/13 Q1016</t>
        </is>
      </c>
      <c r="J74" t="inlineStr">
        <is>
          <t>s/d</t>
        </is>
      </c>
      <c r="K74" t="inlineStr">
        <is>
          <t>SADM 040000Z 14006KT 9999 OVC015 14/13 Q1016</t>
        </is>
      </c>
      <c r="L74" t="inlineStr">
        <is>
          <t>-</t>
        </is>
      </c>
    </row>
    <row r="75">
      <c r="A75" t="n">
        <v>4623801</v>
      </c>
      <c r="B75" s="126" t="n">
        <v>46238</v>
      </c>
      <c r="C75" t="n">
        <v>1</v>
      </c>
      <c r="D75" t="inlineStr">
        <is>
          <t>01 a 02</t>
        </is>
      </c>
      <c r="E75" t="inlineStr">
        <is>
          <t>VMC</t>
        </is>
      </c>
      <c r="F75" t="inlineStr">
        <is>
          <t>ILIM</t>
        </is>
      </c>
      <c r="G75" t="n">
        <v>1500</v>
      </c>
      <c r="H75" t="inlineStr">
        <is>
          <t>NO</t>
        </is>
      </c>
      <c r="I75" t="inlineStr">
        <is>
          <t>SADM 040100Z 14007KT 9999 OVC015 14/12 Q1016</t>
        </is>
      </c>
      <c r="J75" t="inlineStr">
        <is>
          <t>s/d</t>
        </is>
      </c>
      <c r="K75" t="inlineStr">
        <is>
          <t>SADM 040100Z 14007KT 9999 OVC015 14/12 Q1016</t>
        </is>
      </c>
      <c r="L75" t="inlineStr">
        <is>
          <t>-</t>
        </is>
      </c>
    </row>
    <row r="76">
      <c r="A76" s="127" t="n">
        <v>4623802</v>
      </c>
      <c r="B76" s="128" t="n">
        <v>46238</v>
      </c>
      <c r="C76" s="127" t="n">
        <v>2</v>
      </c>
      <c r="D76" s="127" t="inlineStr">
        <is>
          <t>02 a 03</t>
        </is>
      </c>
      <c r="E76" s="127" t="inlineStr">
        <is>
          <t>IMC</t>
        </is>
      </c>
      <c r="F76" s="127" t="inlineStr">
        <is>
          <t>ILIM</t>
        </is>
      </c>
      <c r="G76" s="127" t="n">
        <v>1200</v>
      </c>
      <c r="H76" s="127" t="inlineStr">
        <is>
          <t>NO</t>
        </is>
      </c>
      <c r="I76" s="127" t="inlineStr">
        <is>
          <t>SADM 040200Z 14007KT 9999 OVC012 14/13 Q1016</t>
        </is>
      </c>
      <c r="J76" s="127" t="inlineStr">
        <is>
          <t>techo 1200 ft</t>
        </is>
      </c>
      <c r="K76" s="127" t="inlineStr">
        <is>
          <t>SADM 040200Z 14007KT 9999 OVC012 14/13 Q1016</t>
        </is>
      </c>
      <c r="L76" s="127" t="inlineStr">
        <is>
          <t>-</t>
        </is>
      </c>
    </row>
    <row r="77">
      <c r="A77" s="127" t="n">
        <v>4623803</v>
      </c>
      <c r="B77" s="128" t="n">
        <v>46238</v>
      </c>
      <c r="C77" s="127" t="n">
        <v>3</v>
      </c>
      <c r="D77" s="127" t="inlineStr">
        <is>
          <t>03 a 04</t>
        </is>
      </c>
      <c r="E77" s="127" t="inlineStr">
        <is>
          <t>IMC</t>
        </is>
      </c>
      <c r="F77" s="127" t="inlineStr">
        <is>
          <t>ILIM</t>
        </is>
      </c>
      <c r="G77" s="127" t="n">
        <v>1000</v>
      </c>
      <c r="H77" s="127" t="inlineStr">
        <is>
          <t>NO</t>
        </is>
      </c>
      <c r="I77" s="127" t="inlineStr">
        <is>
          <t>SADM 040300Z 14005KT 9999 OVC010 14/13 Q1017</t>
        </is>
      </c>
      <c r="J77" s="127" t="inlineStr">
        <is>
          <t>techo 1000 ft</t>
        </is>
      </c>
      <c r="K77" s="127" t="inlineStr">
        <is>
          <t>SADM 040300Z 14005KT 9999 OVC010 14/13 Q1017</t>
        </is>
      </c>
      <c r="L77" s="127" t="inlineStr">
        <is>
          <t>-</t>
        </is>
      </c>
    </row>
    <row r="78">
      <c r="A78" s="127" t="n">
        <v>4623804</v>
      </c>
      <c r="B78" s="128" t="n">
        <v>46238</v>
      </c>
      <c r="C78" s="127" t="n">
        <v>4</v>
      </c>
      <c r="D78" s="127" t="inlineStr">
        <is>
          <t>04 a 05</t>
        </is>
      </c>
      <c r="E78" s="127" t="inlineStr">
        <is>
          <t>IMC</t>
        </is>
      </c>
      <c r="F78" s="127" t="inlineStr">
        <is>
          <t>ILIM</t>
        </is>
      </c>
      <c r="G78" s="127" t="n">
        <v>800</v>
      </c>
      <c r="H78" s="127" t="inlineStr">
        <is>
          <t>NO</t>
        </is>
      </c>
      <c r="I78" s="127" t="inlineStr">
        <is>
          <t>SADM 040400Z 14007KT 9999 OVC008 14/13 Q1017</t>
        </is>
      </c>
      <c r="J78" s="127" t="inlineStr">
        <is>
          <t>techo 800 ft</t>
        </is>
      </c>
      <c r="K78" s="127" t="inlineStr">
        <is>
          <t>SADM 040400Z 14007KT 9999 OVC008 14/13 Q1017</t>
        </is>
      </c>
      <c r="L78" s="127" t="inlineStr">
        <is>
          <t>-</t>
        </is>
      </c>
    </row>
    <row r="79">
      <c r="A79" s="127" t="n">
        <v>4623805</v>
      </c>
      <c r="B79" s="128" t="n">
        <v>46238</v>
      </c>
      <c r="C79" s="127" t="n">
        <v>5</v>
      </c>
      <c r="D79" s="127" t="inlineStr">
        <is>
          <t>05 a 06</t>
        </is>
      </c>
      <c r="E79" s="127" t="inlineStr">
        <is>
          <t>IMC</t>
        </is>
      </c>
      <c r="F79" s="127" t="inlineStr">
        <is>
          <t>ILIM</t>
        </is>
      </c>
      <c r="G79" s="127" t="n">
        <v>800</v>
      </c>
      <c r="H79" s="127" t="inlineStr">
        <is>
          <t>NO</t>
        </is>
      </c>
      <c r="I79" s="127" t="inlineStr">
        <is>
          <t>SADM 040500Z 14006KT 9999 OVC008 14/13 Q1017</t>
        </is>
      </c>
      <c r="J79" s="127" t="inlineStr">
        <is>
          <t>techo 800 ft</t>
        </is>
      </c>
      <c r="K79" s="127" t="inlineStr">
        <is>
          <t>SADM 040500Z 14006KT 9999 OVC008 14/13 Q1017</t>
        </is>
      </c>
      <c r="L79" s="127" t="inlineStr">
        <is>
          <t>-</t>
        </is>
      </c>
    </row>
    <row r="80">
      <c r="A80" s="127" t="n">
        <v>4623806</v>
      </c>
      <c r="B80" s="128" t="n">
        <v>46238</v>
      </c>
      <c r="C80" s="127" t="n">
        <v>6</v>
      </c>
      <c r="D80" s="127" t="inlineStr">
        <is>
          <t>06 a 07</t>
        </is>
      </c>
      <c r="E80" s="127" t="inlineStr">
        <is>
          <t>IMC</t>
        </is>
      </c>
      <c r="F80" s="127" t="inlineStr">
        <is>
          <t>ILIM</t>
        </is>
      </c>
      <c r="G80" s="127" t="n">
        <v>500</v>
      </c>
      <c r="H80" s="127" t="inlineStr">
        <is>
          <t>NO</t>
        </is>
      </c>
      <c r="I80" s="127" t="inlineStr">
        <is>
          <t>SADM 040600Z 14006KT 9999 OVC005 14/13 Q1017</t>
        </is>
      </c>
      <c r="J80" s="127" t="inlineStr">
        <is>
          <t>techo 500 ft</t>
        </is>
      </c>
      <c r="K80" s="127" t="inlineStr">
        <is>
          <t>SADM 040600Z 14006KT 9999 OVC005 14/13 Q1017</t>
        </is>
      </c>
      <c r="L80" s="127" t="inlineStr">
        <is>
          <t>-</t>
        </is>
      </c>
    </row>
    <row r="81">
      <c r="A81" s="127" t="n">
        <v>4623807</v>
      </c>
      <c r="B81" s="128" t="n">
        <v>46238</v>
      </c>
      <c r="C81" s="127" t="n">
        <v>7</v>
      </c>
      <c r="D81" s="127" t="inlineStr">
        <is>
          <t>07 a 08</t>
        </is>
      </c>
      <c r="E81" s="127" t="inlineStr">
        <is>
          <t>IMC</t>
        </is>
      </c>
      <c r="F81" s="127" t="inlineStr">
        <is>
          <t>ILIM</t>
        </is>
      </c>
      <c r="G81" s="127" t="n">
        <v>500</v>
      </c>
      <c r="H81" s="127" t="inlineStr">
        <is>
          <t>NO</t>
        </is>
      </c>
      <c r="I81" s="127" t="inlineStr">
        <is>
          <t>SADM 040700Z 16007KT 9999 OVC005 13/13 Q1016</t>
        </is>
      </c>
      <c r="J81" s="127" t="inlineStr">
        <is>
          <t>techo 500 ft</t>
        </is>
      </c>
      <c r="K81" s="127" t="inlineStr">
        <is>
          <t>SADM 040700Z 16007KT 9999 OVC005 13/13 Q1016</t>
        </is>
      </c>
      <c r="L81" s="127" t="inlineStr">
        <is>
          <t>-</t>
        </is>
      </c>
    </row>
    <row r="82">
      <c r="A82" s="127" t="n">
        <v>4623808</v>
      </c>
      <c r="B82" s="128" t="n">
        <v>46238</v>
      </c>
      <c r="C82" s="127" t="n">
        <v>8</v>
      </c>
      <c r="D82" s="127" t="inlineStr">
        <is>
          <t>08 a 09</t>
        </is>
      </c>
      <c r="E82" s="127" t="inlineStr">
        <is>
          <t>IMC</t>
        </is>
      </c>
      <c r="F82" s="127" t="inlineStr">
        <is>
          <t>ILIM</t>
        </is>
      </c>
      <c r="G82" s="127" t="n">
        <v>500</v>
      </c>
      <c r="H82" s="127" t="inlineStr">
        <is>
          <t>NO</t>
        </is>
      </c>
      <c r="I82" s="127" t="inlineStr">
        <is>
          <t>SADM 040800Z 18006KT 9999 OVC005 13/13 Q1016</t>
        </is>
      </c>
      <c r="J82" s="127" t="inlineStr">
        <is>
          <t>techo 500 ft</t>
        </is>
      </c>
      <c r="K82" s="127" t="inlineStr">
        <is>
          <t>SADM 040800Z 18006KT 9999 OVC005 13/13 Q1016</t>
        </is>
      </c>
      <c r="L82" s="127" t="inlineStr">
        <is>
          <t>-</t>
        </is>
      </c>
    </row>
    <row r="83">
      <c r="A83" s="127" t="n">
        <v>4623809</v>
      </c>
      <c r="B83" s="128" t="n">
        <v>46238</v>
      </c>
      <c r="C83" s="127" t="n">
        <v>9</v>
      </c>
      <c r="D83" s="127" t="inlineStr">
        <is>
          <t>09 a 10</t>
        </is>
      </c>
      <c r="E83" s="127" t="inlineStr">
        <is>
          <t>IMC</t>
        </is>
      </c>
      <c r="F83" s="127" t="inlineStr">
        <is>
          <t>ILIM</t>
        </is>
      </c>
      <c r="G83" s="127" t="n">
        <v>400</v>
      </c>
      <c r="H83" s="127" t="inlineStr">
        <is>
          <t>NO</t>
        </is>
      </c>
      <c r="I83" s="127" t="inlineStr">
        <is>
          <t>SADM 040900Z 18006KT 9999 OVC004 13/12 Q1017</t>
        </is>
      </c>
      <c r="J83" s="127" t="inlineStr">
        <is>
          <t>techo 400 ft</t>
        </is>
      </c>
      <c r="K83" s="127" t="inlineStr">
        <is>
          <t>SADM 040900Z 18006KT 9999 OVC004 13/12 Q1017</t>
        </is>
      </c>
      <c r="L83" s="127" t="inlineStr">
        <is>
          <t>-</t>
        </is>
      </c>
    </row>
    <row r="84">
      <c r="A84" s="127" t="n">
        <v>4623810</v>
      </c>
      <c r="B84" s="128" t="n">
        <v>46238</v>
      </c>
      <c r="C84" s="127" t="n">
        <v>10</v>
      </c>
      <c r="D84" s="127" t="inlineStr">
        <is>
          <t>10 a 11</t>
        </is>
      </c>
      <c r="E84" s="127" t="inlineStr">
        <is>
          <t>IMC</t>
        </is>
      </c>
      <c r="F84" s="127" t="inlineStr">
        <is>
          <t>ILIM</t>
        </is>
      </c>
      <c r="G84" s="127" t="n">
        <v>500</v>
      </c>
      <c r="H84" s="127" t="inlineStr">
        <is>
          <t>NO</t>
        </is>
      </c>
      <c r="I84" s="127" t="inlineStr">
        <is>
          <t>SADM 041000Z 16006KT 9999 OVC005 13/12 Q1017</t>
        </is>
      </c>
      <c r="J84" s="127" t="inlineStr">
        <is>
          <t>techo 500 ft</t>
        </is>
      </c>
      <c r="K84" s="127" t="inlineStr">
        <is>
          <t>SADM 041000Z 16006KT 9999 OVC005 13/12 Q1017</t>
        </is>
      </c>
      <c r="L84" s="127" t="inlineStr">
        <is>
          <t>-</t>
        </is>
      </c>
    </row>
    <row r="85">
      <c r="A85" s="127" t="n">
        <v>4623811</v>
      </c>
      <c r="B85" s="128" t="n">
        <v>46238</v>
      </c>
      <c r="C85" s="127" t="n">
        <v>11</v>
      </c>
      <c r="D85" s="127" t="inlineStr">
        <is>
          <t>11 a 12</t>
        </is>
      </c>
      <c r="E85" s="127" t="inlineStr">
        <is>
          <t>IMC</t>
        </is>
      </c>
      <c r="F85" s="127" t="n">
        <v>5000</v>
      </c>
      <c r="G85" s="127" t="n">
        <v>500</v>
      </c>
      <c r="H85" s="127" t="inlineStr">
        <is>
          <t>NO</t>
        </is>
      </c>
      <c r="I85" s="127" t="inlineStr">
        <is>
          <t>SADM 041100Z 16005KT 5000 BR OVC005 11/10 Q1018</t>
        </is>
      </c>
      <c r="J85" s="127" t="inlineStr">
        <is>
          <t>techo 500 ft</t>
        </is>
      </c>
      <c r="K85" s="127" t="inlineStr">
        <is>
          <t>SADM 041100Z 16005KT 5000 BR OVC005 11/10 Q1018</t>
        </is>
      </c>
      <c r="L85" s="127" t="inlineStr">
        <is>
          <t>-</t>
        </is>
      </c>
    </row>
    <row r="86">
      <c r="A86" s="127" t="n">
        <v>4623812</v>
      </c>
      <c r="B86" s="128" t="n">
        <v>46238</v>
      </c>
      <c r="C86" s="127" t="n">
        <v>12</v>
      </c>
      <c r="D86" s="127" t="inlineStr">
        <is>
          <t>12 a 13</t>
        </is>
      </c>
      <c r="E86" s="127" t="inlineStr">
        <is>
          <t>IMC</t>
        </is>
      </c>
      <c r="F86" s="127" t="n">
        <v>5000</v>
      </c>
      <c r="G86" s="127" t="n">
        <v>400</v>
      </c>
      <c r="H86" s="127" t="inlineStr">
        <is>
          <t>NO</t>
        </is>
      </c>
      <c r="I86" s="127" t="inlineStr">
        <is>
          <t>SADM 041200Z 11004KT 5000 BR OVC004 12/11 Q1018</t>
        </is>
      </c>
      <c r="J86" s="127" t="inlineStr">
        <is>
          <t>techo 400 ft</t>
        </is>
      </c>
      <c r="K86" s="127" t="inlineStr">
        <is>
          <t>SADM 041200Z 11004KT 5000 BR OVC004 12/11 Q1018</t>
        </is>
      </c>
      <c r="L86" s="127" t="inlineStr">
        <is>
          <t>-</t>
        </is>
      </c>
    </row>
    <row r="87">
      <c r="A87" s="127" t="n">
        <v>4623813</v>
      </c>
      <c r="B87" s="128" t="n">
        <v>46238</v>
      </c>
      <c r="C87" s="127" t="n">
        <v>13</v>
      </c>
      <c r="D87" s="127" t="inlineStr">
        <is>
          <t>13 a 14</t>
        </is>
      </c>
      <c r="E87" s="127" t="inlineStr">
        <is>
          <t>IMC</t>
        </is>
      </c>
      <c r="F87" s="127" t="n">
        <v>6000</v>
      </c>
      <c r="G87" s="127" t="n">
        <v>500</v>
      </c>
      <c r="H87" s="127" t="inlineStr">
        <is>
          <t>NO</t>
        </is>
      </c>
      <c r="I87" s="127" t="inlineStr">
        <is>
          <t>SADM 041300Z 14006KT 6000 OVC005 12/10 Q1018</t>
        </is>
      </c>
      <c r="J87" s="127" t="inlineStr">
        <is>
          <t>techo 500 ft</t>
        </is>
      </c>
      <c r="K87" s="127" t="inlineStr">
        <is>
          <t>SADM 041300Z 14006KT 6000 OVC005 12/10 Q1018</t>
        </is>
      </c>
      <c r="L87" s="127" t="inlineStr">
        <is>
          <t>-</t>
        </is>
      </c>
    </row>
    <row r="88">
      <c r="A88" s="127" t="n">
        <v>4623814</v>
      </c>
      <c r="B88" s="128" t="n">
        <v>46238</v>
      </c>
      <c r="C88" s="127" t="n">
        <v>14</v>
      </c>
      <c r="D88" s="127" t="inlineStr">
        <is>
          <t>14 a 15</t>
        </is>
      </c>
      <c r="E88" s="127" t="inlineStr">
        <is>
          <t>IMC</t>
        </is>
      </c>
      <c r="F88" s="127" t="n">
        <v>6000</v>
      </c>
      <c r="G88" s="127" t="n">
        <v>600</v>
      </c>
      <c r="H88" s="127" t="inlineStr">
        <is>
          <t>NO</t>
        </is>
      </c>
      <c r="I88" s="127" t="inlineStr">
        <is>
          <t>SADM 041400Z 14005KT 6000 OVC006 12/10 Q1019</t>
        </is>
      </c>
      <c r="J88" s="127" t="inlineStr">
        <is>
          <t>techo 600 ft</t>
        </is>
      </c>
      <c r="K88" s="127" t="inlineStr">
        <is>
          <t>SADM 041400Z 14005KT 6000 OVC006 12/10 Q1019</t>
        </is>
      </c>
      <c r="L88" s="127" t="inlineStr">
        <is>
          <t>-</t>
        </is>
      </c>
    </row>
    <row r="89">
      <c r="A89" s="127" t="n">
        <v>4623815</v>
      </c>
      <c r="B89" s="128" t="n">
        <v>46238</v>
      </c>
      <c r="C89" s="127" t="n">
        <v>15</v>
      </c>
      <c r="D89" s="127" t="inlineStr">
        <is>
          <t>15 a 16</t>
        </is>
      </c>
      <c r="E89" s="127" t="inlineStr">
        <is>
          <t>IMC</t>
        </is>
      </c>
      <c r="F89" s="127" t="n">
        <v>6000</v>
      </c>
      <c r="G89" s="127" t="n">
        <v>800</v>
      </c>
      <c r="H89" s="127" t="inlineStr">
        <is>
          <t>NO</t>
        </is>
      </c>
      <c r="I89" s="127" t="inlineStr">
        <is>
          <t>SADM 041500Z 14007KT 6000 OVC008 13/10 Q1018</t>
        </is>
      </c>
      <c r="J89" s="127" t="inlineStr">
        <is>
          <t>techo 800 ft</t>
        </is>
      </c>
      <c r="K89" s="127" t="inlineStr">
        <is>
          <t>SADM 041500Z 14007KT 6000 OVC008 13/10 Q1018</t>
        </is>
      </c>
      <c r="L89" s="127" t="inlineStr">
        <is>
          <t>-</t>
        </is>
      </c>
    </row>
    <row r="90">
      <c r="A90" s="127" t="n">
        <v>4623816</v>
      </c>
      <c r="B90" s="128" t="n">
        <v>46238</v>
      </c>
      <c r="C90" s="127" t="n">
        <v>16</v>
      </c>
      <c r="D90" s="127" t="inlineStr">
        <is>
          <t>16 a 17</t>
        </is>
      </c>
      <c r="E90" s="127" t="inlineStr">
        <is>
          <t>IMC</t>
        </is>
      </c>
      <c r="F90" s="127" t="n">
        <v>4000</v>
      </c>
      <c r="G90" s="127" t="n">
        <v>1000</v>
      </c>
      <c r="H90" s="127" t="inlineStr">
        <is>
          <t>NO</t>
        </is>
      </c>
      <c r="I90" s="127" t="inlineStr">
        <is>
          <t>SADM 041600Z 11005KT 4000 BR OVC010 13/10 Q1018</t>
        </is>
      </c>
      <c r="J90" s="127" t="inlineStr">
        <is>
          <t>vis 4000 m + techo 1000 ft</t>
        </is>
      </c>
      <c r="K90" s="127" t="inlineStr">
        <is>
          <t>SADM 041600Z 11005KT 4000 BR OVC010 13/10 Q1018</t>
        </is>
      </c>
      <c r="L90" s="127" t="inlineStr">
        <is>
          <t>-</t>
        </is>
      </c>
    </row>
    <row r="91">
      <c r="A91" s="127" t="n">
        <v>4623817</v>
      </c>
      <c r="B91" s="128" t="n">
        <v>46238</v>
      </c>
      <c r="C91" s="127" t="n">
        <v>17</v>
      </c>
      <c r="D91" s="127" t="inlineStr">
        <is>
          <t>17 a 18</t>
        </is>
      </c>
      <c r="E91" s="127" t="inlineStr">
        <is>
          <t>IMC</t>
        </is>
      </c>
      <c r="F91" s="127" t="n">
        <v>4000</v>
      </c>
      <c r="G91" s="127" t="n">
        <v>1300</v>
      </c>
      <c r="H91" s="127" t="inlineStr">
        <is>
          <t>NO</t>
        </is>
      </c>
      <c r="I91" s="127" t="inlineStr">
        <is>
          <t>COR SADM 041700Z 11005KT 4000 BR OVC013 14/10 Q1016</t>
        </is>
      </c>
      <c r="J91" s="127" t="inlineStr">
        <is>
          <t>vis 4000 m + techo 1300 ft</t>
        </is>
      </c>
      <c r="K91" s="127" t="inlineStr">
        <is>
          <t>COR SADM 041700Z 11005KT 4000 BR OVC013 14/10 Q1016</t>
        </is>
      </c>
      <c r="L91" s="127" t="inlineStr">
        <is>
          <t>-</t>
        </is>
      </c>
    </row>
    <row r="92">
      <c r="A92" t="n">
        <v>4623818</v>
      </c>
      <c r="B92" s="126" t="n">
        <v>46238</v>
      </c>
      <c r="C92" t="n">
        <v>18</v>
      </c>
      <c r="D92" t="inlineStr">
        <is>
          <t>18 a 19</t>
        </is>
      </c>
      <c r="E92" t="inlineStr">
        <is>
          <t>VMC</t>
        </is>
      </c>
      <c r="F92" t="inlineStr">
        <is>
          <t>ILIM</t>
        </is>
      </c>
      <c r="G92" t="n">
        <v>1600</v>
      </c>
      <c r="H92" t="inlineStr">
        <is>
          <t>NO</t>
        </is>
      </c>
      <c r="I92" t="inlineStr">
        <is>
          <t>SADM 041800Z 09008KT 9999 OVC016 15/10 Q1016</t>
        </is>
      </c>
      <c r="J92" t="inlineStr">
        <is>
          <t>s/d</t>
        </is>
      </c>
      <c r="K92" t="inlineStr">
        <is>
          <t>SADM 041800Z 09008KT 9999 OVC016 15/10 Q1016</t>
        </is>
      </c>
      <c r="L92" t="inlineStr">
        <is>
          <t>-</t>
        </is>
      </c>
    </row>
    <row r="93">
      <c r="A93" t="n">
        <v>4623819</v>
      </c>
      <c r="B93" s="126" t="n">
        <v>46238</v>
      </c>
      <c r="C93" t="n">
        <v>19</v>
      </c>
      <c r="D93" t="inlineStr">
        <is>
          <t>19 a 20</t>
        </is>
      </c>
      <c r="E93" t="inlineStr">
        <is>
          <t>VMC</t>
        </is>
      </c>
      <c r="F93" t="n">
        <v>6000</v>
      </c>
      <c r="G93" t="n">
        <v>1500</v>
      </c>
      <c r="H93" t="inlineStr">
        <is>
          <t>NO</t>
        </is>
      </c>
      <c r="I93" t="inlineStr">
        <is>
          <t>SADM 041900Z 11006KT 6000 OVC015 15/11 Q1016</t>
        </is>
      </c>
      <c r="J93" t="inlineStr">
        <is>
          <t>s/d</t>
        </is>
      </c>
      <c r="K93" t="inlineStr">
        <is>
          <t>SADM 041900Z 11006KT 6000 OVC015 15/11 Q1016</t>
        </is>
      </c>
      <c r="L93" t="inlineStr">
        <is>
          <t>-</t>
        </is>
      </c>
    </row>
    <row r="94">
      <c r="A94" t="n">
        <v>4623820</v>
      </c>
      <c r="B94" s="126" t="n">
        <v>46238</v>
      </c>
      <c r="C94" t="n">
        <v>20</v>
      </c>
      <c r="D94" t="inlineStr">
        <is>
          <t>20 a 21</t>
        </is>
      </c>
      <c r="E94" t="inlineStr">
        <is>
          <t>VMC</t>
        </is>
      </c>
      <c r="F94" t="n">
        <v>8000</v>
      </c>
      <c r="G94" t="n">
        <v>1500</v>
      </c>
      <c r="H94" t="inlineStr">
        <is>
          <t>NO</t>
        </is>
      </c>
      <c r="I94" t="inlineStr">
        <is>
          <t>SADM 042000Z 09003KT 8000 OVC015 16/12 Q1016</t>
        </is>
      </c>
      <c r="J94" t="inlineStr">
        <is>
          <t>s/d</t>
        </is>
      </c>
      <c r="K94" t="inlineStr">
        <is>
          <t>SADM 042000Z 09003KT 8000 OVC015 16/12 Q1016</t>
        </is>
      </c>
      <c r="L94" t="inlineStr">
        <is>
          <t>-</t>
        </is>
      </c>
    </row>
    <row r="95">
      <c r="A95" s="127" t="n">
        <v>4623821</v>
      </c>
      <c r="B95" s="128" t="n">
        <v>46238</v>
      </c>
      <c r="C95" s="127" t="n">
        <v>21</v>
      </c>
      <c r="D95" s="127" t="inlineStr">
        <is>
          <t>21 a 22</t>
        </is>
      </c>
      <c r="E95" s="127" t="inlineStr">
        <is>
          <t>IMC</t>
        </is>
      </c>
      <c r="F95" s="127" t="n">
        <v>6000</v>
      </c>
      <c r="G95" s="127" t="n">
        <v>900</v>
      </c>
      <c r="H95" s="127" t="inlineStr">
        <is>
          <t>NO</t>
        </is>
      </c>
      <c r="I95" s="127" t="inlineStr">
        <is>
          <t>SADM 042100Z 09005KT 6000 OVC009 15/12 Q1016</t>
        </is>
      </c>
      <c r="J95" s="127" t="inlineStr">
        <is>
          <t>techo 900 ft</t>
        </is>
      </c>
      <c r="K95" s="127" t="inlineStr">
        <is>
          <t>SADM 042100Z 09005KT 6000 OVC009 15/12 Q1016</t>
        </is>
      </c>
      <c r="L95" s="127" t="inlineStr">
        <is>
          <t>-</t>
        </is>
      </c>
    </row>
    <row r="96">
      <c r="A96" s="127" t="n">
        <v>4623822</v>
      </c>
      <c r="B96" s="128" t="n">
        <v>46238</v>
      </c>
      <c r="C96" s="127" t="n">
        <v>22</v>
      </c>
      <c r="D96" s="127" t="inlineStr">
        <is>
          <t>22 a 23</t>
        </is>
      </c>
      <c r="E96" s="127" t="inlineStr">
        <is>
          <t>IMC</t>
        </is>
      </c>
      <c r="F96" s="127" t="n">
        <v>8000</v>
      </c>
      <c r="G96" s="127" t="n">
        <v>600</v>
      </c>
      <c r="H96" s="127" t="inlineStr">
        <is>
          <t>NO</t>
        </is>
      </c>
      <c r="I96" s="127" t="inlineStr">
        <is>
          <t>SADM 042200Z 09005KT 8000 OVC006 14/13 Q1016</t>
        </is>
      </c>
      <c r="J96" s="127" t="inlineStr">
        <is>
          <t>techo 600 ft</t>
        </is>
      </c>
      <c r="K96" s="127" t="inlineStr">
        <is>
          <t>SADM 042200Z 09005KT 8000 OVC006 14/13 Q1016</t>
        </is>
      </c>
      <c r="L96" s="127" t="inlineStr">
        <is>
          <t>-</t>
        </is>
      </c>
    </row>
    <row r="97">
      <c r="A97" t="n">
        <v>4623823</v>
      </c>
      <c r="B97" s="126" t="n">
        <v>46238</v>
      </c>
      <c r="C97" t="n">
        <v>23</v>
      </c>
      <c r="D97" t="inlineStr">
        <is>
          <t>23 a 00</t>
        </is>
      </c>
      <c r="E97" t="inlineStr">
        <is>
          <t>VMC</t>
        </is>
      </c>
      <c r="F97" t="n">
        <v>8000</v>
      </c>
      <c r="G97" t="n">
        <v>2000</v>
      </c>
      <c r="H97" t="inlineStr">
        <is>
          <t>NO</t>
        </is>
      </c>
      <c r="I97" t="inlineStr">
        <is>
          <t>SADM 042300Z 07006KT 8000 SCT008 OVC020 14/12 Q1016</t>
        </is>
      </c>
      <c r="J97" t="inlineStr">
        <is>
          <t>s/d</t>
        </is>
      </c>
      <c r="K97" t="inlineStr">
        <is>
          <t>SADM 042300Z 07006KT 8000 SCT008 OVC020 14/12 Q1016</t>
        </is>
      </c>
      <c r="L97" t="inlineStr">
        <is>
          <t>-</t>
        </is>
      </c>
    </row>
    <row r="98">
      <c r="A98" t="n">
        <v>4623900</v>
      </c>
      <c r="B98" s="126" t="n">
        <v>46239</v>
      </c>
      <c r="C98" t="n">
        <v>0</v>
      </c>
      <c r="D98" t="inlineStr">
        <is>
          <t>00 a 01</t>
        </is>
      </c>
      <c r="E98" t="inlineStr">
        <is>
          <t>VMC</t>
        </is>
      </c>
      <c r="F98" t="n">
        <v>8000</v>
      </c>
      <c r="G98" t="n">
        <v>2300</v>
      </c>
      <c r="H98" t="inlineStr">
        <is>
          <t>NO</t>
        </is>
      </c>
      <c r="I98" t="inlineStr">
        <is>
          <t>SADM 050000Z 09004KT 8000 FEW008 OVC023 14/12 Q1016</t>
        </is>
      </c>
      <c r="J98" t="inlineStr">
        <is>
          <t>s/d</t>
        </is>
      </c>
      <c r="K98" t="inlineStr">
        <is>
          <t>SADM 050000Z 09004KT 8000 FEW008 OVC023 14/12 Q1016</t>
        </is>
      </c>
      <c r="L98" t="inlineStr">
        <is>
          <t>-</t>
        </is>
      </c>
    </row>
    <row r="99">
      <c r="A99" s="127" t="n">
        <v>4623901</v>
      </c>
      <c r="B99" s="128" t="n">
        <v>46239</v>
      </c>
      <c r="C99" s="127" t="n">
        <v>1</v>
      </c>
      <c r="D99" s="127" t="inlineStr">
        <is>
          <t>01 a 02</t>
        </is>
      </c>
      <c r="E99" s="127" t="inlineStr">
        <is>
          <t>IMC</t>
        </is>
      </c>
      <c r="F99" s="127" t="n">
        <v>8000</v>
      </c>
      <c r="G99" s="127" t="n">
        <v>800</v>
      </c>
      <c r="H99" s="127" t="inlineStr">
        <is>
          <t>NO</t>
        </is>
      </c>
      <c r="I99" s="127" t="inlineStr">
        <is>
          <t>SADM 050100Z 09005KT 8000 BKN008 OVC023 14/12 Q1015</t>
        </is>
      </c>
      <c r="J99" s="127" t="inlineStr">
        <is>
          <t>techo 800 ft</t>
        </is>
      </c>
      <c r="K99" s="127" t="inlineStr">
        <is>
          <t>SADM 050100Z 09005KT 8000 BKN008 OVC023 14/12 Q1015</t>
        </is>
      </c>
      <c r="L99" s="127" t="inlineStr">
        <is>
          <t>-</t>
        </is>
      </c>
    </row>
    <row r="100">
      <c r="A100" s="127" t="n">
        <v>4623902</v>
      </c>
      <c r="B100" s="128" t="n">
        <v>46239</v>
      </c>
      <c r="C100" s="127" t="n">
        <v>2</v>
      </c>
      <c r="D100" s="127" t="inlineStr">
        <is>
          <t>02 a 03</t>
        </is>
      </c>
      <c r="E100" s="127" t="inlineStr">
        <is>
          <t>IMC</t>
        </is>
      </c>
      <c r="F100" s="127" t="n">
        <v>8000</v>
      </c>
      <c r="G100" s="127" t="n">
        <v>800</v>
      </c>
      <c r="H100" s="127" t="inlineStr">
        <is>
          <t>NO</t>
        </is>
      </c>
      <c r="I100" s="127" t="inlineStr">
        <is>
          <t>SADM 050200Z 09004KT 8000 BKN008 OVC019 15/12 Q1015</t>
        </is>
      </c>
      <c r="J100" s="127" t="inlineStr">
        <is>
          <t>techo 800 ft</t>
        </is>
      </c>
      <c r="K100" s="127" t="inlineStr">
        <is>
          <t>SADM 050200Z 09004KT 8000 BKN008 OVC019 15/12 Q1015</t>
        </is>
      </c>
      <c r="L100" s="127" t="inlineStr">
        <is>
          <t>-</t>
        </is>
      </c>
    </row>
    <row r="101">
      <c r="A101" t="n">
        <v>4623903</v>
      </c>
      <c r="B101" s="126" t="n">
        <v>46239</v>
      </c>
      <c r="C101" t="n">
        <v>3</v>
      </c>
      <c r="D101" t="inlineStr">
        <is>
          <t>03 a 04</t>
        </is>
      </c>
      <c r="E101" t="inlineStr">
        <is>
          <t>VMC</t>
        </is>
      </c>
      <c r="F101" t="n">
        <v>8000</v>
      </c>
      <c r="G101" t="n">
        <v>2300</v>
      </c>
      <c r="H101" t="inlineStr">
        <is>
          <t>NO</t>
        </is>
      </c>
      <c r="I101" t="inlineStr">
        <is>
          <t>SADM 050300Z 09003KT 8000 OVC023 15/13 Q1015</t>
        </is>
      </c>
      <c r="J101" t="inlineStr">
        <is>
          <t>s/d</t>
        </is>
      </c>
      <c r="K101" t="inlineStr">
        <is>
          <t>SADM 050300Z 09003KT 8000 OVC023 15/13 Q1015</t>
        </is>
      </c>
      <c r="L101" t="inlineStr">
        <is>
          <t>-</t>
        </is>
      </c>
    </row>
    <row r="102">
      <c r="A102" t="n">
        <v>4623904</v>
      </c>
      <c r="B102" s="126" t="n">
        <v>46239</v>
      </c>
      <c r="C102" t="n">
        <v>4</v>
      </c>
      <c r="D102" t="inlineStr">
        <is>
          <t>04 a 05</t>
        </is>
      </c>
      <c r="E102" t="inlineStr">
        <is>
          <t>VMC</t>
        </is>
      </c>
      <c r="F102" t="n">
        <v>8000</v>
      </c>
      <c r="G102" t="n">
        <v>2500</v>
      </c>
      <c r="H102" t="inlineStr">
        <is>
          <t>NO</t>
        </is>
      </c>
      <c r="I102" t="inlineStr">
        <is>
          <t>SADM 050400Z 09004KT 8000 SCT008 OVC025 15/13 Q1015</t>
        </is>
      </c>
      <c r="J102" t="inlineStr">
        <is>
          <t>s/d</t>
        </is>
      </c>
      <c r="K102" t="inlineStr">
        <is>
          <t>SADM 050400Z 09004KT 8000 SCT008 OVC025 15/13 Q1015</t>
        </is>
      </c>
      <c r="L102" t="inlineStr">
        <is>
          <t>-</t>
        </is>
      </c>
    </row>
    <row r="103">
      <c r="A103" t="n">
        <v>4623905</v>
      </c>
      <c r="B103" s="126" t="n">
        <v>46239</v>
      </c>
      <c r="C103" t="n">
        <v>5</v>
      </c>
      <c r="D103" t="inlineStr">
        <is>
          <t>05 a 06</t>
        </is>
      </c>
      <c r="E103" t="inlineStr">
        <is>
          <t>VMC</t>
        </is>
      </c>
      <c r="F103" t="n">
        <v>8000</v>
      </c>
      <c r="G103" t="n">
        <v>2500</v>
      </c>
      <c r="H103" t="inlineStr">
        <is>
          <t>NO</t>
        </is>
      </c>
      <c r="I103" t="inlineStr">
        <is>
          <t>SADM 050500Z 09004KT 8000 BRK008 OVC025 15/13 Q1014</t>
        </is>
      </c>
      <c r="J103" t="inlineStr">
        <is>
          <t>s/d</t>
        </is>
      </c>
      <c r="K103" t="inlineStr">
        <is>
          <t>SADM 050500Z 09004KT 8000 BRK008 OVC025 15/13 Q1014</t>
        </is>
      </c>
      <c r="L103" t="inlineStr">
        <is>
          <t>BRK008</t>
        </is>
      </c>
    </row>
    <row r="104">
      <c r="A104" s="127" t="n">
        <v>4623906</v>
      </c>
      <c r="B104" s="128" t="n">
        <v>46239</v>
      </c>
      <c r="C104" s="127" t="n">
        <v>6</v>
      </c>
      <c r="D104" s="127" t="inlineStr">
        <is>
          <t>06 a 07</t>
        </is>
      </c>
      <c r="E104" s="127" t="inlineStr">
        <is>
          <t>IMC</t>
        </is>
      </c>
      <c r="F104" s="127" t="n">
        <v>3500</v>
      </c>
      <c r="G104" s="127" t="n">
        <v>800</v>
      </c>
      <c r="H104" s="127" t="inlineStr">
        <is>
          <t>NO</t>
        </is>
      </c>
      <c r="I104" s="127" t="inlineStr">
        <is>
          <t>SADM 050600Z 05004KT 3500 -DZ BR BKN008 OVC018 14/14 Q1014</t>
        </is>
      </c>
      <c r="J104" s="127" t="inlineStr">
        <is>
          <t>vis 3500 m + techo 800 ft</t>
        </is>
      </c>
      <c r="K104" s="127" t="inlineStr">
        <is>
          <t>SADM 050600Z 05004KT 3500 -DZ BR BKN008 OVC018 14/14 Q1014</t>
        </is>
      </c>
      <c r="L104" s="127" t="inlineStr">
        <is>
          <t>-</t>
        </is>
      </c>
    </row>
    <row r="105">
      <c r="A105" s="127" t="n">
        <v>4623907</v>
      </c>
      <c r="B105" s="128" t="n">
        <v>46239</v>
      </c>
      <c r="C105" s="127" t="n">
        <v>7</v>
      </c>
      <c r="D105" s="127" t="inlineStr">
        <is>
          <t>07 a 08</t>
        </is>
      </c>
      <c r="E105" s="127" t="inlineStr">
        <is>
          <t>IMC</t>
        </is>
      </c>
      <c r="F105" s="127" t="n">
        <v>3500</v>
      </c>
      <c r="G105" s="127" t="n">
        <v>300</v>
      </c>
      <c r="H105" s="127" t="inlineStr">
        <is>
          <t>NO</t>
        </is>
      </c>
      <c r="I105" s="127" t="inlineStr">
        <is>
          <t>SADM 050700Z 12002KT 3500 -DZ BR OVC003 14/14 Q1013</t>
        </is>
      </c>
      <c r="J105" s="127" t="inlineStr">
        <is>
          <t>vis 3500 m + techo 300 ft</t>
        </is>
      </c>
      <c r="K105" s="127" t="inlineStr">
        <is>
          <t>SADM 050700Z 12002KT 3500 -DZ BR OVC003 14/14 Q1013</t>
        </is>
      </c>
      <c r="L105" s="127" t="inlineStr">
        <is>
          <t>-</t>
        </is>
      </c>
    </row>
    <row r="106">
      <c r="A106" s="127" t="n">
        <v>4623908</v>
      </c>
      <c r="B106" s="128" t="n">
        <v>46239</v>
      </c>
      <c r="C106" s="127" t="n">
        <v>8</v>
      </c>
      <c r="D106" s="127" t="inlineStr">
        <is>
          <t>08 a 09</t>
        </is>
      </c>
      <c r="E106" s="127" t="inlineStr">
        <is>
          <t>IMC</t>
        </is>
      </c>
      <c r="F106" s="127" t="n">
        <v>1000</v>
      </c>
      <c r="G106" s="127" t="n">
        <v>300</v>
      </c>
      <c r="H106" s="127" t="inlineStr">
        <is>
          <t>NO</t>
        </is>
      </c>
      <c r="I106" s="127" t="inlineStr">
        <is>
          <t>SADM 050800Z 18002KT 1000 BR OVC003 14/14 Q1013</t>
        </is>
      </c>
      <c r="J106" s="127" t="inlineStr">
        <is>
          <t>vis 1000 m + techo 300 ft</t>
        </is>
      </c>
      <c r="K106" s="127" t="inlineStr">
        <is>
          <t>SADM 050800Z 18002KT 1000 BR OVC003 14/14 Q1013</t>
        </is>
      </c>
      <c r="L106" s="127" t="inlineStr">
        <is>
          <t>-</t>
        </is>
      </c>
    </row>
    <row r="107">
      <c r="A107" s="127" t="n">
        <v>4623909</v>
      </c>
      <c r="B107" s="128" t="n">
        <v>46239</v>
      </c>
      <c r="C107" s="127" t="n">
        <v>9</v>
      </c>
      <c r="D107" s="127" t="inlineStr">
        <is>
          <t>09 a 10</t>
        </is>
      </c>
      <c r="E107" s="127" t="inlineStr">
        <is>
          <t>IMC</t>
        </is>
      </c>
      <c r="F107" s="127" t="n">
        <v>1000</v>
      </c>
      <c r="G107" s="127" t="n">
        <v>300</v>
      </c>
      <c r="H107" s="127" t="inlineStr">
        <is>
          <t>NO</t>
        </is>
      </c>
      <c r="I107" s="127" t="inlineStr">
        <is>
          <t>SADM 050900Z 16004KT 1000 BR OVC003 14/14 Q1013</t>
        </is>
      </c>
      <c r="J107" s="127" t="inlineStr">
        <is>
          <t>vis 1000 m + techo 300 ft</t>
        </is>
      </c>
      <c r="K107" s="127" t="inlineStr">
        <is>
          <t>SADM 050900Z 16004KT 1000 BR OVC003 14/14 Q1013</t>
        </is>
      </c>
      <c r="L107" s="127" t="inlineStr">
        <is>
          <t>-</t>
        </is>
      </c>
    </row>
    <row r="108">
      <c r="A108" s="127" t="n">
        <v>4623910</v>
      </c>
      <c r="B108" s="128" t="n">
        <v>46239</v>
      </c>
      <c r="C108" s="127" t="n">
        <v>10</v>
      </c>
      <c r="D108" s="127" t="inlineStr">
        <is>
          <t>10 a 11</t>
        </is>
      </c>
      <c r="E108" s="127" t="inlineStr">
        <is>
          <t>IMC</t>
        </is>
      </c>
      <c r="F108" s="127" t="n">
        <v>1000</v>
      </c>
      <c r="G108" s="127" t="n">
        <v>300</v>
      </c>
      <c r="H108" s="127" t="inlineStr">
        <is>
          <t>NO</t>
        </is>
      </c>
      <c r="I108" s="127" t="inlineStr">
        <is>
          <t>SADM 051000Z 18004KT 1000 -DZ BR OVC003 14/13 Q1013</t>
        </is>
      </c>
      <c r="J108" s="127" t="inlineStr">
        <is>
          <t>vis 1000 m + techo 300 ft</t>
        </is>
      </c>
      <c r="K108" s="127" t="inlineStr">
        <is>
          <t>SADM 051000Z 18004KT 1000 -DZ BR OVC003 14/13 Q1013</t>
        </is>
      </c>
      <c r="L108" s="127" t="inlineStr">
        <is>
          <t>-</t>
        </is>
      </c>
    </row>
    <row r="109">
      <c r="A109" s="127" t="n">
        <v>4623911</v>
      </c>
      <c r="B109" s="128" t="n">
        <v>46239</v>
      </c>
      <c r="C109" s="127" t="n">
        <v>11</v>
      </c>
      <c r="D109" s="127" t="inlineStr">
        <is>
          <t>11 a 12</t>
        </is>
      </c>
      <c r="E109" s="127" t="inlineStr">
        <is>
          <t>IMC</t>
        </is>
      </c>
      <c r="F109" s="127" t="n">
        <v>2000</v>
      </c>
      <c r="G109" s="127" t="n">
        <v>400</v>
      </c>
      <c r="H109" s="127" t="inlineStr">
        <is>
          <t>NO</t>
        </is>
      </c>
      <c r="I109" s="127" t="inlineStr">
        <is>
          <t>SADM 051100Z 18010KT 2000 -DZ BR OVC004 13/13 Q1013</t>
        </is>
      </c>
      <c r="J109" s="127" t="inlineStr">
        <is>
          <t>vis 2000 m + techo 400 ft</t>
        </is>
      </c>
      <c r="K109" s="127" t="inlineStr">
        <is>
          <t>SADM 051100Z 18010KT 2000 -DZ BR OVC004 13/13 Q1013</t>
        </is>
      </c>
      <c r="L109" s="127" t="inlineStr">
        <is>
          <t>-</t>
        </is>
      </c>
    </row>
    <row r="110">
      <c r="A110" s="127" t="n">
        <v>4623912</v>
      </c>
      <c r="B110" s="128" t="n">
        <v>46239</v>
      </c>
      <c r="C110" s="127" t="n">
        <v>12</v>
      </c>
      <c r="D110" s="127" t="inlineStr">
        <is>
          <t>12 a 13</t>
        </is>
      </c>
      <c r="E110" s="127" t="inlineStr">
        <is>
          <t>IMC</t>
        </is>
      </c>
      <c r="F110" s="127" t="n">
        <v>2000</v>
      </c>
      <c r="G110" s="127" t="n">
        <v>300</v>
      </c>
      <c r="H110" s="127" t="inlineStr">
        <is>
          <t>NO</t>
        </is>
      </c>
      <c r="I110" s="127" t="inlineStr">
        <is>
          <t>SADM 051200Z 16009KT 2000 -DZ BR OVC003 13/13 Q1013</t>
        </is>
      </c>
      <c r="J110" s="127" t="inlineStr">
        <is>
          <t>vis 2000 m + techo 300 ft</t>
        </is>
      </c>
      <c r="K110" s="127" t="inlineStr">
        <is>
          <t>SADM 051200Z 16009KT 2000 -DZ BR OVC003 13/13 Q1013</t>
        </is>
      </c>
      <c r="L110" s="127" t="inlineStr">
        <is>
          <t>-</t>
        </is>
      </c>
    </row>
    <row r="111">
      <c r="A111" s="127" t="n">
        <v>4623913</v>
      </c>
      <c r="B111" s="128" t="n">
        <v>46239</v>
      </c>
      <c r="C111" s="127" t="n">
        <v>13</v>
      </c>
      <c r="D111" s="127" t="inlineStr">
        <is>
          <t>13 a 14</t>
        </is>
      </c>
      <c r="E111" s="127" t="inlineStr">
        <is>
          <t>IMC</t>
        </is>
      </c>
      <c r="F111" s="127" t="inlineStr">
        <is>
          <t>ILIM</t>
        </is>
      </c>
      <c r="G111" s="127" t="n">
        <v>500</v>
      </c>
      <c r="H111" s="127" t="inlineStr">
        <is>
          <t>NO</t>
        </is>
      </c>
      <c r="I111" s="127" t="inlineStr">
        <is>
          <t>SADM 051300Z 16008KT 9999 OVC005 14/13 Q1014</t>
        </is>
      </c>
      <c r="J111" s="127" t="inlineStr">
        <is>
          <t>techo 500 ft</t>
        </is>
      </c>
      <c r="K111" s="127" t="inlineStr">
        <is>
          <t>SADM 051300Z 16008KT 9999 OVC005 14/13 Q1014</t>
        </is>
      </c>
      <c r="L111" s="127" t="inlineStr">
        <is>
          <t>-</t>
        </is>
      </c>
    </row>
    <row r="112">
      <c r="A112" s="127" t="n">
        <v>4623914</v>
      </c>
      <c r="B112" s="128" t="n">
        <v>46239</v>
      </c>
      <c r="C112" s="127" t="n">
        <v>14</v>
      </c>
      <c r="D112" s="127" t="inlineStr">
        <is>
          <t>14 a 15</t>
        </is>
      </c>
      <c r="E112" s="127" t="inlineStr">
        <is>
          <t>IMC</t>
        </is>
      </c>
      <c r="F112" s="127" t="inlineStr">
        <is>
          <t>ILIM</t>
        </is>
      </c>
      <c r="G112" s="127" t="n">
        <v>400</v>
      </c>
      <c r="H112" s="127" t="inlineStr">
        <is>
          <t>NO</t>
        </is>
      </c>
      <c r="I112" s="127" t="inlineStr">
        <is>
          <t>SADM 051400Z 16006KT 9999 OVC004 14/12 Q1014</t>
        </is>
      </c>
      <c r="J112" s="127" t="inlineStr">
        <is>
          <t>techo 400 ft</t>
        </is>
      </c>
      <c r="K112" s="127" t="inlineStr">
        <is>
          <t>SADM 051400Z 16006KT 9999 OVC004 14/12 Q1014</t>
        </is>
      </c>
      <c r="L112" s="127" t="inlineStr">
        <is>
          <t>-</t>
        </is>
      </c>
    </row>
    <row r="113">
      <c r="A113" s="127" t="n">
        <v>4623915</v>
      </c>
      <c r="B113" s="128" t="n">
        <v>46239</v>
      </c>
      <c r="C113" s="127" t="n">
        <v>15</v>
      </c>
      <c r="D113" s="127" t="inlineStr">
        <is>
          <t>15 a 16</t>
        </is>
      </c>
      <c r="E113" s="127" t="inlineStr">
        <is>
          <t>IMC</t>
        </is>
      </c>
      <c r="F113" s="127" t="inlineStr">
        <is>
          <t>ILIM</t>
        </is>
      </c>
      <c r="G113" s="127" t="n">
        <v>700</v>
      </c>
      <c r="H113" s="127" t="inlineStr">
        <is>
          <t>NO</t>
        </is>
      </c>
      <c r="I113" s="127" t="inlineStr">
        <is>
          <t>SADM 051500Z 14008KT 9999 OVC007 14/13 Q1013</t>
        </is>
      </c>
      <c r="J113" s="127" t="inlineStr">
        <is>
          <t>techo 700 ft</t>
        </is>
      </c>
      <c r="K113" s="127" t="inlineStr">
        <is>
          <t>SADM 051500Z 14008KT 9999 OVC007 14/13 Q1013</t>
        </is>
      </c>
      <c r="L113" s="127" t="inlineStr">
        <is>
          <t>-</t>
        </is>
      </c>
    </row>
    <row r="114">
      <c r="A114" s="127" t="n">
        <v>4623916</v>
      </c>
      <c r="B114" s="128" t="n">
        <v>46239</v>
      </c>
      <c r="C114" s="127" t="n">
        <v>16</v>
      </c>
      <c r="D114" s="127" t="inlineStr">
        <is>
          <t>16 a 17</t>
        </is>
      </c>
      <c r="E114" s="127" t="inlineStr">
        <is>
          <t>IMC</t>
        </is>
      </c>
      <c r="F114" s="127" t="inlineStr">
        <is>
          <t>ILIM</t>
        </is>
      </c>
      <c r="G114" s="127" t="n">
        <v>1300</v>
      </c>
      <c r="H114" s="127" t="inlineStr">
        <is>
          <t>NO</t>
        </is>
      </c>
      <c r="I114" s="127" t="inlineStr">
        <is>
          <t>SADM 051600Z 18008KT 9999 BKN013 15/13 Q1013</t>
        </is>
      </c>
      <c r="J114" s="127" t="inlineStr">
        <is>
          <t>techo 1300 ft</t>
        </is>
      </c>
      <c r="K114" s="127" t="inlineStr">
        <is>
          <t>SADM 051600Z 18008KT 9999 BKN013 15/13 Q1013</t>
        </is>
      </c>
      <c r="L114" s="127" t="inlineStr">
        <is>
          <t>-</t>
        </is>
      </c>
    </row>
    <row r="115">
      <c r="A115" t="n">
        <v>4623917</v>
      </c>
      <c r="B115" s="126" t="n">
        <v>46239</v>
      </c>
      <c r="C115" t="n">
        <v>17</v>
      </c>
      <c r="D115" t="inlineStr">
        <is>
          <t>17 a 18</t>
        </is>
      </c>
      <c r="E115" t="inlineStr">
        <is>
          <t>VMC</t>
        </is>
      </c>
      <c r="F115" t="inlineStr">
        <is>
          <t>ILIM</t>
        </is>
      </c>
      <c r="G115" t="n">
        <v>1500</v>
      </c>
      <c r="H115" t="inlineStr">
        <is>
          <t>NO</t>
        </is>
      </c>
      <c r="I115" t="inlineStr">
        <is>
          <t>SADM 051700Z 14005KT 9999 OVC015 16/14 Q1011</t>
        </is>
      </c>
      <c r="J115" t="inlineStr">
        <is>
          <t>s/d</t>
        </is>
      </c>
      <c r="K115" t="inlineStr">
        <is>
          <t>SADM 051700Z 14005KT 9999 OVC015 16/14 Q1011</t>
        </is>
      </c>
      <c r="L115" t="inlineStr">
        <is>
          <t>-</t>
        </is>
      </c>
    </row>
    <row r="116">
      <c r="A116" s="127" t="n">
        <v>4623918</v>
      </c>
      <c r="B116" s="128" t="n">
        <v>46239</v>
      </c>
      <c r="C116" s="127" t="n">
        <v>18</v>
      </c>
      <c r="D116" s="127" t="inlineStr">
        <is>
          <t>18 a 19</t>
        </is>
      </c>
      <c r="E116" s="127" t="inlineStr">
        <is>
          <t>IMC</t>
        </is>
      </c>
      <c r="F116" s="127" t="inlineStr">
        <is>
          <t>ILIM</t>
        </is>
      </c>
      <c r="G116" s="127" t="n">
        <v>1400</v>
      </c>
      <c r="H116" s="127" t="inlineStr">
        <is>
          <t>NO</t>
        </is>
      </c>
      <c r="I116" s="127" t="inlineStr">
        <is>
          <t>SADM 051800Z 11002KT 9999 OVC014 16/14 Q1011</t>
        </is>
      </c>
      <c r="J116" s="127" t="inlineStr">
        <is>
          <t>techo 1400 ft</t>
        </is>
      </c>
      <c r="K116" s="127" t="inlineStr">
        <is>
          <t>SADM 051800Z 11002KT 9999 OVC014 16/14 Q1011</t>
        </is>
      </c>
      <c r="L116" s="127" t="inlineStr">
        <is>
          <t>-</t>
        </is>
      </c>
    </row>
    <row r="117">
      <c r="A117" t="n">
        <v>4623919</v>
      </c>
      <c r="B117" s="126" t="n">
        <v>46239</v>
      </c>
      <c r="C117" t="n">
        <v>19</v>
      </c>
      <c r="D117" t="inlineStr">
        <is>
          <t>19 a 20</t>
        </is>
      </c>
      <c r="E117" t="inlineStr">
        <is>
          <t>VMC</t>
        </is>
      </c>
      <c r="F117" t="inlineStr">
        <is>
          <t>ILIM</t>
        </is>
      </c>
      <c r="G117" t="n">
        <v>1500</v>
      </c>
      <c r="H117" t="inlineStr">
        <is>
          <t>NO</t>
        </is>
      </c>
      <c r="I117" t="inlineStr">
        <is>
          <t>COR SADM 051900Z 20003KT 9999 OVC015 16/14 Q1011</t>
        </is>
      </c>
      <c r="J117" t="inlineStr">
        <is>
          <t>s/d</t>
        </is>
      </c>
      <c r="K117" t="inlineStr">
        <is>
          <t>COR SADM 051900Z 20003KT 9999 OVC015 16/14 Q1011</t>
        </is>
      </c>
      <c r="L117" t="inlineStr">
        <is>
          <t>-</t>
        </is>
      </c>
    </row>
    <row r="118">
      <c r="A118" t="n">
        <v>4623920</v>
      </c>
      <c r="B118" s="126" t="n">
        <v>46239</v>
      </c>
      <c r="C118" t="n">
        <v>20</v>
      </c>
      <c r="D118" t="inlineStr">
        <is>
          <t>20 a 21</t>
        </is>
      </c>
      <c r="E118" t="inlineStr">
        <is>
          <t>VMC</t>
        </is>
      </c>
      <c r="F118" t="inlineStr">
        <is>
          <t>ILIM</t>
        </is>
      </c>
      <c r="G118" t="n">
        <v>1700</v>
      </c>
      <c r="H118" t="inlineStr">
        <is>
          <t>NO</t>
        </is>
      </c>
      <c r="I118" t="inlineStr">
        <is>
          <t>SADM 052000Z 23006KT 9999 OVC017 16/15 Q1011</t>
        </is>
      </c>
      <c r="J118" t="inlineStr">
        <is>
          <t>s/d</t>
        </is>
      </c>
      <c r="K118" t="inlineStr">
        <is>
          <t>SADM 052000Z 23006KT 9999 OVC017 16/15 Q1011</t>
        </is>
      </c>
      <c r="L118" t="inlineStr">
        <is>
          <t>-</t>
        </is>
      </c>
    </row>
    <row r="119">
      <c r="A119" t="n">
        <v>4623921</v>
      </c>
      <c r="B119" s="126" t="n">
        <v>46239</v>
      </c>
      <c r="C119" t="n">
        <v>21</v>
      </c>
      <c r="D119" t="inlineStr">
        <is>
          <t>21 a 22</t>
        </is>
      </c>
      <c r="E119" t="inlineStr">
        <is>
          <t>VMC</t>
        </is>
      </c>
      <c r="F119" t="inlineStr">
        <is>
          <t>ILIM</t>
        </is>
      </c>
      <c r="G119" t="n">
        <v>1800</v>
      </c>
      <c r="H119" t="inlineStr">
        <is>
          <t>NO</t>
        </is>
      </c>
      <c r="I119" t="inlineStr">
        <is>
          <t>COR SADM 052100Z 14004KT 9999 OVC018 15/13 Q1010</t>
        </is>
      </c>
      <c r="J119" t="inlineStr">
        <is>
          <t>s/d</t>
        </is>
      </c>
      <c r="K119" t="inlineStr">
        <is>
          <t>COR SADM 052100Z 14004KT 9999 OVC018 15/13 Q1010</t>
        </is>
      </c>
      <c r="L119" t="inlineStr">
        <is>
          <t>-</t>
        </is>
      </c>
    </row>
    <row r="120">
      <c r="A120" s="127" t="n">
        <v>4623922</v>
      </c>
      <c r="B120" s="128" t="n">
        <v>46239</v>
      </c>
      <c r="C120" s="127" t="n">
        <v>22</v>
      </c>
      <c r="D120" s="127" t="inlineStr">
        <is>
          <t>22 a 23</t>
        </is>
      </c>
      <c r="E120" s="127" t="inlineStr">
        <is>
          <t>IMC</t>
        </is>
      </c>
      <c r="F120" s="127" t="inlineStr">
        <is>
          <t>ILIM</t>
        </is>
      </c>
      <c r="G120" s="127" t="n">
        <v>1200</v>
      </c>
      <c r="H120" s="127" t="inlineStr">
        <is>
          <t>NO</t>
        </is>
      </c>
      <c r="I120" s="127" t="inlineStr">
        <is>
          <t>SADM 052200Z 14004KT 9999 OVC012 15/13 Q1009</t>
        </is>
      </c>
      <c r="J120" s="127" t="inlineStr">
        <is>
          <t>techo 1200 ft</t>
        </is>
      </c>
      <c r="K120" s="127" t="inlineStr">
        <is>
          <t>SADM 052200Z 14004KT 9999 OVC012 15/13 Q1009</t>
        </is>
      </c>
      <c r="L120" s="127" t="inlineStr">
        <is>
          <t>-</t>
        </is>
      </c>
    </row>
    <row r="121">
      <c r="A121" s="127" t="n">
        <v>4623923</v>
      </c>
      <c r="B121" s="128" t="n">
        <v>46239</v>
      </c>
      <c r="C121" s="127" t="n">
        <v>23</v>
      </c>
      <c r="D121" s="127" t="inlineStr">
        <is>
          <t>23 a 00</t>
        </is>
      </c>
      <c r="E121" s="127" t="inlineStr">
        <is>
          <t>IMC</t>
        </is>
      </c>
      <c r="F121" s="127" t="inlineStr">
        <is>
          <t>ILIM</t>
        </is>
      </c>
      <c r="G121" s="127" t="n">
        <v>1400</v>
      </c>
      <c r="H121" s="127" t="inlineStr">
        <is>
          <t>NO</t>
        </is>
      </c>
      <c r="I121" s="127" t="inlineStr">
        <is>
          <t>SADM 052300Z 14003KT 9999 OVC014 15/13 Q1010</t>
        </is>
      </c>
      <c r="J121" s="127" t="inlineStr">
        <is>
          <t>techo 1400 ft</t>
        </is>
      </c>
      <c r="K121" s="127" t="inlineStr">
        <is>
          <t>SADM 052300Z 14003KT 9999 OVC014 15/13 Q1010</t>
        </is>
      </c>
      <c r="L121" s="127" t="inlineStr">
        <is>
          <t>-</t>
        </is>
      </c>
    </row>
    <row r="122">
      <c r="A122" s="127" t="n">
        <v>4624000</v>
      </c>
      <c r="B122" s="128" t="n">
        <v>46240</v>
      </c>
      <c r="C122" s="127" t="n">
        <v>0</v>
      </c>
      <c r="D122" s="127" t="inlineStr">
        <is>
          <t>00 a 01</t>
        </is>
      </c>
      <c r="E122" s="127" t="inlineStr">
        <is>
          <t>IMC</t>
        </is>
      </c>
      <c r="F122" s="127" t="inlineStr">
        <is>
          <t>ILIM</t>
        </is>
      </c>
      <c r="G122" s="127" t="n">
        <v>1400</v>
      </c>
      <c r="H122" s="127" t="inlineStr">
        <is>
          <t>NO</t>
        </is>
      </c>
      <c r="I122" s="127" t="inlineStr">
        <is>
          <t>SADM 060000Z 14002KT 9999 OVC014 15/13 Q1009</t>
        </is>
      </c>
      <c r="J122" s="127" t="inlineStr">
        <is>
          <t>techo 1400 ft</t>
        </is>
      </c>
      <c r="K122" s="127" t="inlineStr">
        <is>
          <t>SADM 060000Z 14002KT 9999 OVC014 15/13 Q1009</t>
        </is>
      </c>
      <c r="L122" s="127" t="inlineStr">
        <is>
          <t>-</t>
        </is>
      </c>
    </row>
    <row r="123">
      <c r="A123" t="n">
        <v>4624001</v>
      </c>
      <c r="B123" s="126" t="n">
        <v>46240</v>
      </c>
      <c r="C123" t="n">
        <v>1</v>
      </c>
      <c r="D123" t="inlineStr">
        <is>
          <t>01 a 02</t>
        </is>
      </c>
      <c r="E123" t="inlineStr">
        <is>
          <t>VMC</t>
        </is>
      </c>
      <c r="F123" t="inlineStr">
        <is>
          <t>ILIM</t>
        </is>
      </c>
      <c r="G123" t="n">
        <v>1600</v>
      </c>
      <c r="H123" t="inlineStr">
        <is>
          <t>NO</t>
        </is>
      </c>
      <c r="I123" t="inlineStr">
        <is>
          <t>SADM 060100Z 14003KT 9999 OVC016 15/13 Q1009</t>
        </is>
      </c>
      <c r="J123" t="inlineStr">
        <is>
          <t>s/d</t>
        </is>
      </c>
      <c r="K123" t="inlineStr">
        <is>
          <t>SADM 060100Z 14003KT 9999 OVC016 15/13 Q1009</t>
        </is>
      </c>
      <c r="L123" t="inlineStr">
        <is>
          <t>-</t>
        </is>
      </c>
    </row>
    <row r="124">
      <c r="A124" s="127" t="n">
        <v>4624002</v>
      </c>
      <c r="B124" s="128" t="n">
        <v>46240</v>
      </c>
      <c r="C124" s="127" t="n">
        <v>2</v>
      </c>
      <c r="D124" s="127" t="inlineStr">
        <is>
          <t>02 a 03</t>
        </is>
      </c>
      <c r="E124" s="127" t="inlineStr">
        <is>
          <t>IMC</t>
        </is>
      </c>
      <c r="F124" s="127" t="inlineStr">
        <is>
          <t>ILIM</t>
        </is>
      </c>
      <c r="G124" s="127" t="n">
        <v>1400</v>
      </c>
      <c r="H124" s="127" t="inlineStr">
        <is>
          <t>NO</t>
        </is>
      </c>
      <c r="I124" s="127" t="inlineStr">
        <is>
          <t>SADM 060200Z 09006KT 9999 OVC014 15/13 Q1008</t>
        </is>
      </c>
      <c r="J124" s="127" t="inlineStr">
        <is>
          <t>techo 1400 ft</t>
        </is>
      </c>
      <c r="K124" s="127" t="inlineStr">
        <is>
          <t>SADM 060200Z 09006KT 9999 OVC014 15/13 Q1008</t>
        </is>
      </c>
      <c r="L124" s="127" t="inlineStr">
        <is>
          <t>-</t>
        </is>
      </c>
    </row>
    <row r="125">
      <c r="A125" s="127" t="n">
        <v>4624003</v>
      </c>
      <c r="B125" s="128" t="n">
        <v>46240</v>
      </c>
      <c r="C125" s="127" t="n">
        <v>3</v>
      </c>
      <c r="D125" s="127" t="inlineStr">
        <is>
          <t>03 a 04</t>
        </is>
      </c>
      <c r="E125" s="127" t="inlineStr">
        <is>
          <t>IMC</t>
        </is>
      </c>
      <c r="F125" s="127" t="inlineStr">
        <is>
          <t>ILIM</t>
        </is>
      </c>
      <c r="G125" s="127" t="n">
        <v>1400</v>
      </c>
      <c r="H125" s="127" t="inlineStr">
        <is>
          <t>NO</t>
        </is>
      </c>
      <c r="I125" s="127" t="inlineStr">
        <is>
          <t>SADM 060300Z 05004KT 9999 OVC014 15/13 Q1008</t>
        </is>
      </c>
      <c r="J125" s="127" t="inlineStr">
        <is>
          <t>techo 1400 ft</t>
        </is>
      </c>
      <c r="K125" s="127" t="inlineStr">
        <is>
          <t>SADM 060300Z 05004KT 9999 OVC014 15/13 Q1008</t>
        </is>
      </c>
      <c r="L125" s="127" t="inlineStr">
        <is>
          <t>-</t>
        </is>
      </c>
    </row>
    <row r="126">
      <c r="A126" s="127" t="n">
        <v>4624004</v>
      </c>
      <c r="B126" s="128" t="n">
        <v>46240</v>
      </c>
      <c r="C126" s="127" t="n">
        <v>4</v>
      </c>
      <c r="D126" s="127" t="inlineStr">
        <is>
          <t>04 a 05</t>
        </is>
      </c>
      <c r="E126" s="127" t="inlineStr">
        <is>
          <t>IMC</t>
        </is>
      </c>
      <c r="F126" s="127" t="inlineStr">
        <is>
          <t>ILIM</t>
        </is>
      </c>
      <c r="G126" s="127" t="n">
        <v>1300</v>
      </c>
      <c r="H126" s="127" t="inlineStr">
        <is>
          <t>NO</t>
        </is>
      </c>
      <c r="I126" s="127" t="inlineStr">
        <is>
          <t>SADM 060400Z 05002KT 9999 OVC013 15/13 Q1008</t>
        </is>
      </c>
      <c r="J126" s="127" t="inlineStr">
        <is>
          <t>techo 1300 ft</t>
        </is>
      </c>
      <c r="K126" s="127" t="inlineStr">
        <is>
          <t>SADM 060400Z 05002KT 9999 OVC013 15/13 Q1008</t>
        </is>
      </c>
      <c r="L126" s="127" t="inlineStr">
        <is>
          <t>-</t>
        </is>
      </c>
    </row>
    <row r="127">
      <c r="A127" s="127" t="n">
        <v>4624005</v>
      </c>
      <c r="B127" s="128" t="n">
        <v>46240</v>
      </c>
      <c r="C127" s="127" t="n">
        <v>5</v>
      </c>
      <c r="D127" s="127" t="inlineStr">
        <is>
          <t>05 a 06</t>
        </is>
      </c>
      <c r="E127" s="127" t="inlineStr">
        <is>
          <t>IMC</t>
        </is>
      </c>
      <c r="F127" s="127" t="inlineStr">
        <is>
          <t>ILIM</t>
        </is>
      </c>
      <c r="G127" s="127" t="n">
        <v>1200</v>
      </c>
      <c r="H127" s="127" t="inlineStr">
        <is>
          <t>NO</t>
        </is>
      </c>
      <c r="I127" s="127" t="inlineStr">
        <is>
          <t>SADM 060500Z 07002KT 9999 OVC012 15/12 Q1007</t>
        </is>
      </c>
      <c r="J127" s="127" t="inlineStr">
        <is>
          <t>techo 1200 ft</t>
        </is>
      </c>
      <c r="K127" s="127" t="inlineStr">
        <is>
          <t>SADM 060500Z 07002KT 9999 OVC012 15/12 Q1007</t>
        </is>
      </c>
      <c r="L127" s="127" t="inlineStr">
        <is>
          <t>-</t>
        </is>
      </c>
    </row>
    <row r="128">
      <c r="A128" s="127" t="n">
        <v>4624006</v>
      </c>
      <c r="B128" s="128" t="n">
        <v>46240</v>
      </c>
      <c r="C128" s="127" t="n">
        <v>6</v>
      </c>
      <c r="D128" s="127" t="inlineStr">
        <is>
          <t>06 a 07</t>
        </is>
      </c>
      <c r="E128" s="127" t="inlineStr">
        <is>
          <t>IMC</t>
        </is>
      </c>
      <c r="F128" s="127" t="inlineStr">
        <is>
          <t>ILIM</t>
        </is>
      </c>
      <c r="G128" s="127" t="n">
        <v>900</v>
      </c>
      <c r="H128" s="127" t="inlineStr">
        <is>
          <t>NO</t>
        </is>
      </c>
      <c r="I128" s="127" t="inlineStr">
        <is>
          <t>SADM 060600Z 05005KT 9999 OVC009 14/13 Q1006</t>
        </is>
      </c>
      <c r="J128" s="127" t="inlineStr">
        <is>
          <t>techo 900 ft</t>
        </is>
      </c>
      <c r="K128" s="127" t="inlineStr">
        <is>
          <t>SADM 060600Z 05005KT 9999 OVC009 14/13 Q1006</t>
        </is>
      </c>
      <c r="L128" s="127" t="inlineStr">
        <is>
          <t>-</t>
        </is>
      </c>
    </row>
    <row r="129">
      <c r="A129" s="127" t="n">
        <v>4624007</v>
      </c>
      <c r="B129" s="128" t="n">
        <v>46240</v>
      </c>
      <c r="C129" s="127" t="n">
        <v>7</v>
      </c>
      <c r="D129" s="127" t="inlineStr">
        <is>
          <t>07 a 08</t>
        </is>
      </c>
      <c r="E129" s="127" t="inlineStr">
        <is>
          <t>IMC</t>
        </is>
      </c>
      <c r="F129" s="127" t="inlineStr">
        <is>
          <t>ILIM</t>
        </is>
      </c>
      <c r="G129" s="127" t="n">
        <v>1400</v>
      </c>
      <c r="H129" s="127" t="inlineStr">
        <is>
          <t>NO</t>
        </is>
      </c>
      <c r="I129" s="127" t="inlineStr">
        <is>
          <t>SADM 060700Z 07003KT 9999 OVC014 14/13 Q1005</t>
        </is>
      </c>
      <c r="J129" s="127" t="inlineStr">
        <is>
          <t>techo 1400 ft</t>
        </is>
      </c>
      <c r="K129" s="127" t="inlineStr">
        <is>
          <t>SADM 060700Z 07003KT 9999 OVC014 14/13 Q1005</t>
        </is>
      </c>
      <c r="L129" s="127" t="inlineStr">
        <is>
          <t>-</t>
        </is>
      </c>
    </row>
    <row r="130">
      <c r="A130" s="127" t="n">
        <v>4624008</v>
      </c>
      <c r="B130" s="128" t="n">
        <v>46240</v>
      </c>
      <c r="C130" s="127" t="n">
        <v>8</v>
      </c>
      <c r="D130" s="127" t="inlineStr">
        <is>
          <t>08 a 09</t>
        </is>
      </c>
      <c r="E130" s="127" t="inlineStr">
        <is>
          <t>IMC</t>
        </is>
      </c>
      <c r="F130" s="127" t="inlineStr">
        <is>
          <t>ILIM</t>
        </is>
      </c>
      <c r="G130" s="127" t="n">
        <v>1100</v>
      </c>
      <c r="H130" s="127" t="inlineStr">
        <is>
          <t>NO</t>
        </is>
      </c>
      <c r="I130" s="127" t="inlineStr">
        <is>
          <t>SADM 060800Z 07004KT 9999 OVC011 14/12 Q1005</t>
        </is>
      </c>
      <c r="J130" s="127" t="inlineStr">
        <is>
          <t>techo 1100 ft</t>
        </is>
      </c>
      <c r="K130" s="127" t="inlineStr">
        <is>
          <t>SADM 060800Z 07004KT 9999 OVC011 14/12 Q1005</t>
        </is>
      </c>
      <c r="L130" s="127" t="inlineStr">
        <is>
          <t>-</t>
        </is>
      </c>
    </row>
    <row r="131">
      <c r="A131" s="127" t="n">
        <v>4624009</v>
      </c>
      <c r="B131" s="128" t="n">
        <v>46240</v>
      </c>
      <c r="C131" s="127" t="n">
        <v>9</v>
      </c>
      <c r="D131" s="127" t="inlineStr">
        <is>
          <t>09 a 10</t>
        </is>
      </c>
      <c r="E131" s="127" t="inlineStr">
        <is>
          <t>IMC</t>
        </is>
      </c>
      <c r="F131" s="127" t="n">
        <v>9000</v>
      </c>
      <c r="G131" s="127" t="n">
        <v>400</v>
      </c>
      <c r="H131" s="127" t="inlineStr">
        <is>
          <t>SI</t>
        </is>
      </c>
      <c r="I131" s="127" t="inlineStr">
        <is>
          <t>SADM 060900Z 09004KT 9999 OVC005 14/13 Q1004</t>
        </is>
      </c>
      <c r="J131" s="127" t="inlineStr">
        <is>
          <t>techo 400 ft</t>
        </is>
      </c>
      <c r="K131" s="127" t="inlineStr">
        <is>
          <t>SADM 060900Z 09004KT 9999 OVC005 14/13 Q1004 || SADM 060925Z COR 14004KT 9000 -TSRA OVC004 FEW050CB 14/13 Q1004</t>
        </is>
      </c>
      <c r="L131" s="127" t="inlineStr">
        <is>
          <t>-</t>
        </is>
      </c>
    </row>
    <row r="132">
      <c r="A132" s="127" t="n">
        <v>4624010</v>
      </c>
      <c r="B132" s="128" t="n">
        <v>46240</v>
      </c>
      <c r="C132" s="127" t="n">
        <v>10</v>
      </c>
      <c r="D132" s="127" t="inlineStr">
        <is>
          <t>10 a 11</t>
        </is>
      </c>
      <c r="E132" s="127" t="inlineStr">
        <is>
          <t>IMC</t>
        </is>
      </c>
      <c r="F132" s="127" t="n">
        <v>3000</v>
      </c>
      <c r="G132" s="127" t="n">
        <v>400</v>
      </c>
      <c r="H132" s="127" t="inlineStr">
        <is>
          <t>NO</t>
        </is>
      </c>
      <c r="I132" s="127" t="inlineStr">
        <is>
          <t>SADM 061000Z 14004KT 3000 -TSRA BKN004 FEW050CB 14/13 Q1004</t>
        </is>
      </c>
      <c r="J132" s="127" t="inlineStr">
        <is>
          <t>vis 3000 m + techo 400 ft</t>
        </is>
      </c>
      <c r="K132" s="127" t="inlineStr">
        <is>
          <t>SADM 061000Z 14004KT 3000 -TSRA BKN004 FEW050CB 14/13 Q1004</t>
        </is>
      </c>
      <c r="L132" s="127" t="inlineStr">
        <is>
          <t>-</t>
        </is>
      </c>
    </row>
    <row r="133">
      <c r="A133" s="127" t="n">
        <v>4624011</v>
      </c>
      <c r="B133" s="128" t="n">
        <v>46240</v>
      </c>
      <c r="C133" s="127" t="n">
        <v>11</v>
      </c>
      <c r="D133" s="127" t="inlineStr">
        <is>
          <t>11 a 12</t>
        </is>
      </c>
      <c r="E133" s="127" t="inlineStr">
        <is>
          <t>IMC</t>
        </is>
      </c>
      <c r="F133" s="127" t="n">
        <v>1000</v>
      </c>
      <c r="G133" s="127" t="n">
        <v>600</v>
      </c>
      <c r="H133" s="127" t="inlineStr">
        <is>
          <t>SI</t>
        </is>
      </c>
      <c r="I133" s="127" t="inlineStr">
        <is>
          <t>SADM 061100Z 09006KT 3000 -TSRA BKN006 FEW050CB 14/13 Q1002</t>
        </is>
      </c>
      <c r="J133" s="127" t="inlineStr">
        <is>
          <t>vis 1000 m + techo 600 ft</t>
        </is>
      </c>
      <c r="K133" s="127" t="inlineStr">
        <is>
          <t>SADM 061100Z 09006KT 3000 -TSRA BKN006 FEW050CB 14/13 Q1002 || SADM 061117Z 09005KT 1000 TSRA BR BKN006 FEW045CB 14/13 Q1001</t>
        </is>
      </c>
      <c r="L133" s="127" t="inlineStr">
        <is>
          <t>-</t>
        </is>
      </c>
    </row>
    <row r="134">
      <c r="A134" s="127" t="n">
        <v>4624012</v>
      </c>
      <c r="B134" s="128" t="n">
        <v>46240</v>
      </c>
      <c r="C134" s="127" t="n">
        <v>12</v>
      </c>
      <c r="D134" s="127" t="inlineStr">
        <is>
          <t>12 a 13</t>
        </is>
      </c>
      <c r="E134" s="127" t="inlineStr">
        <is>
          <t>IMC</t>
        </is>
      </c>
      <c r="F134" s="127" t="n">
        <v>1000</v>
      </c>
      <c r="G134" s="127" t="n">
        <v>300</v>
      </c>
      <c r="H134" s="127" t="inlineStr">
        <is>
          <t>NO</t>
        </is>
      </c>
      <c r="I134" s="127" t="inlineStr">
        <is>
          <t>SADM 061200Z 09005KT 1000 TSRA BKN003 FEW045CB 14/13 Q1003</t>
        </is>
      </c>
      <c r="J134" s="127" t="inlineStr">
        <is>
          <t>vis 1000 m + techo 300 ft</t>
        </is>
      </c>
      <c r="K134" s="127" t="inlineStr">
        <is>
          <t>SADM 061200Z 09005KT 1000 TSRA BKN003 FEW045CB 14/13 Q1003</t>
        </is>
      </c>
      <c r="L134" s="127" t="inlineStr">
        <is>
          <t>-</t>
        </is>
      </c>
    </row>
    <row r="135">
      <c r="A135" s="127" t="n">
        <v>4624013</v>
      </c>
      <c r="B135" s="128" t="n">
        <v>46240</v>
      </c>
      <c r="C135" s="127" t="n">
        <v>13</v>
      </c>
      <c r="D135" s="127" t="inlineStr">
        <is>
          <t>13 a 14</t>
        </is>
      </c>
      <c r="E135" s="127" t="inlineStr">
        <is>
          <t>IMC</t>
        </is>
      </c>
      <c r="F135" s="127" t="n">
        <v>1000</v>
      </c>
      <c r="G135" s="127" t="n">
        <v>400</v>
      </c>
      <c r="H135" s="127" t="inlineStr">
        <is>
          <t>NO</t>
        </is>
      </c>
      <c r="I135" s="127" t="inlineStr">
        <is>
          <t>COR SADM 061300Z 07006KT 1000 TSRA BKN004 FEW045CB 14/13 Q1001</t>
        </is>
      </c>
      <c r="J135" s="127" t="inlineStr">
        <is>
          <t>vis 1000 m + techo 400 ft</t>
        </is>
      </c>
      <c r="K135" s="127" t="inlineStr">
        <is>
          <t>COR SADM 061300Z 07006KT 1000 TSRA BKN004 FEW045CB 14/13 Q1001</t>
        </is>
      </c>
      <c r="L135" s="127" t="inlineStr">
        <is>
          <t>-</t>
        </is>
      </c>
    </row>
    <row r="136">
      <c r="A136" s="127" t="n">
        <v>4624014</v>
      </c>
      <c r="B136" s="128" t="n">
        <v>46240</v>
      </c>
      <c r="C136" s="127" t="n">
        <v>14</v>
      </c>
      <c r="D136" s="127" t="inlineStr">
        <is>
          <t>14 a 15</t>
        </is>
      </c>
      <c r="E136" s="127" t="inlineStr">
        <is>
          <t>IMC</t>
        </is>
      </c>
      <c r="F136" s="127" t="n">
        <v>1000</v>
      </c>
      <c r="G136" s="127" t="n">
        <v>400</v>
      </c>
      <c r="H136" s="127" t="inlineStr">
        <is>
          <t>NO</t>
        </is>
      </c>
      <c r="I136" s="127" t="inlineStr">
        <is>
          <t>SADM 061400Z 23007KT 1000 TSRA BKN004 FEW040CB 14/14 Q1001</t>
        </is>
      </c>
      <c r="J136" s="127" t="inlineStr">
        <is>
          <t>vis 1000 m + techo 400 ft</t>
        </is>
      </c>
      <c r="K136" s="127" t="inlineStr">
        <is>
          <t>SADM 061400Z 23007KT 1000 TSRA BKN004 FEW040CB 14/14 Q1001</t>
        </is>
      </c>
      <c r="L136" s="127" t="inlineStr">
        <is>
          <t>-</t>
        </is>
      </c>
    </row>
    <row r="137">
      <c r="A137" s="127" t="n">
        <v>4624015</v>
      </c>
      <c r="B137" s="128" t="n">
        <v>46240</v>
      </c>
      <c r="C137" s="127" t="n">
        <v>15</v>
      </c>
      <c r="D137" s="127" t="inlineStr">
        <is>
          <t>15 a 16</t>
        </is>
      </c>
      <c r="E137" s="127" t="inlineStr">
        <is>
          <t>IMC</t>
        </is>
      </c>
      <c r="F137" s="127" t="n">
        <v>1500</v>
      </c>
      <c r="G137" s="127" t="n">
        <v>5000</v>
      </c>
      <c r="H137" s="127" t="inlineStr">
        <is>
          <t>SI</t>
        </is>
      </c>
      <c r="I137" s="127" t="inlineStr">
        <is>
          <t>SADM 061500Z 14005KT 1500 TSRA SCT009 FEW040CB OVC050 14/13 Q1001</t>
        </is>
      </c>
      <c r="J137" s="127" t="inlineStr">
        <is>
          <t>vis 1500 m</t>
        </is>
      </c>
      <c r="K137" s="127" t="inlineStr">
        <is>
          <t>SADM 061500Z 14005KT 1500 TSRA SCT009 FEW040CB OVC050 14/13 Q1001 || SADM 061505Z 21016G28KT 1500 TSRA SCT005 FEW040CB OVC050 14/13 Q0999</t>
        </is>
      </c>
      <c r="L137" s="127" t="inlineStr">
        <is>
          <t>-</t>
        </is>
      </c>
    </row>
    <row r="138">
      <c r="A138" t="n">
        <v>4624016</v>
      </c>
      <c r="B138" s="126" t="n">
        <v>46240</v>
      </c>
      <c r="C138" t="n">
        <v>16</v>
      </c>
      <c r="D138" t="inlineStr">
        <is>
          <t>16 a 17</t>
        </is>
      </c>
      <c r="E138" t="inlineStr">
        <is>
          <t>VMC</t>
        </is>
      </c>
      <c r="F138" t="inlineStr">
        <is>
          <t>ILIM</t>
        </is>
      </c>
      <c r="G138" t="n">
        <v>2100</v>
      </c>
      <c r="H138" t="inlineStr">
        <is>
          <t>NO</t>
        </is>
      </c>
      <c r="I138" t="inlineStr">
        <is>
          <t>SADM 061600Z 18011KT 9999 SCT008 BKN021 OVC100 13/11 Q1002</t>
        </is>
      </c>
      <c r="J138" t="inlineStr">
        <is>
          <t>s/d</t>
        </is>
      </c>
      <c r="K138" t="inlineStr">
        <is>
          <t>SADM 061600Z 18011KT 9999 SCT008 BKN021 OVC100 13/11 Q1002</t>
        </is>
      </c>
      <c r="L138" t="inlineStr">
        <is>
          <t>-</t>
        </is>
      </c>
    </row>
    <row r="139">
      <c r="A139" s="127" t="n">
        <v>4624017</v>
      </c>
      <c r="B139" s="128" t="n">
        <v>46240</v>
      </c>
      <c r="C139" s="127" t="n">
        <v>17</v>
      </c>
      <c r="D139" s="127" t="inlineStr">
        <is>
          <t>17 a 18</t>
        </is>
      </c>
      <c r="E139" s="127" t="inlineStr">
        <is>
          <t>IMC</t>
        </is>
      </c>
      <c r="F139" s="127" t="n">
        <v>9000</v>
      </c>
      <c r="G139" s="127" t="n">
        <v>800</v>
      </c>
      <c r="H139" s="127" t="inlineStr">
        <is>
          <t>NO</t>
        </is>
      </c>
      <c r="I139" s="127" t="inlineStr">
        <is>
          <t>SADM 061700Z 20016KT 9000 -RA OVC008 13/12 Q1001</t>
        </is>
      </c>
      <c r="J139" s="127" t="inlineStr">
        <is>
          <t>techo 800 ft</t>
        </is>
      </c>
      <c r="K139" s="127" t="inlineStr">
        <is>
          <t>SADM 061700Z 20016KT 9000 -RA OVC008 13/12 Q1001</t>
        </is>
      </c>
      <c r="L139" s="127" t="inlineStr">
        <is>
          <t>-</t>
        </is>
      </c>
    </row>
    <row r="140">
      <c r="A140" s="127" t="n">
        <v>4624018</v>
      </c>
      <c r="B140" s="128" t="n">
        <v>46240</v>
      </c>
      <c r="C140" s="127" t="n">
        <v>18</v>
      </c>
      <c r="D140" s="127" t="inlineStr">
        <is>
          <t>18 a 19</t>
        </is>
      </c>
      <c r="E140" s="127" t="inlineStr">
        <is>
          <t>IMC</t>
        </is>
      </c>
      <c r="F140" s="127" t="inlineStr">
        <is>
          <t>ILIM</t>
        </is>
      </c>
      <c r="G140" s="127" t="n">
        <v>900</v>
      </c>
      <c r="H140" s="127" t="inlineStr">
        <is>
          <t>NO</t>
        </is>
      </c>
      <c r="I140" s="127" t="inlineStr">
        <is>
          <t>COR SADM 061800Z 20009KT 9999 BKN009 OVC100 13/11 Q1002</t>
        </is>
      </c>
      <c r="J140" s="127" t="inlineStr">
        <is>
          <t>techo 900 ft</t>
        </is>
      </c>
      <c r="K140" s="127" t="inlineStr">
        <is>
          <t>COR SADM 061800Z 20009KT 9999 BKN009 OVC100 13/11 Q1002</t>
        </is>
      </c>
      <c r="L140" s="127" t="inlineStr">
        <is>
          <t>-</t>
        </is>
      </c>
    </row>
    <row r="141">
      <c r="A141" s="127" t="n">
        <v>4624019</v>
      </c>
      <c r="B141" s="128" t="n">
        <v>46240</v>
      </c>
      <c r="C141" s="127" t="n">
        <v>19</v>
      </c>
      <c r="D141" s="127" t="inlineStr">
        <is>
          <t>19 a 20</t>
        </is>
      </c>
      <c r="E141" s="127" t="inlineStr">
        <is>
          <t>IMC</t>
        </is>
      </c>
      <c r="F141" s="127" t="inlineStr">
        <is>
          <t>ILIM</t>
        </is>
      </c>
      <c r="G141" s="127" t="n">
        <v>1400</v>
      </c>
      <c r="H141" s="127" t="inlineStr">
        <is>
          <t>NO</t>
        </is>
      </c>
      <c r="I141" s="127" t="inlineStr">
        <is>
          <t>SADM 061900Z 18012KT 9999 BKN014 OVC100 13/11 Q1001</t>
        </is>
      </c>
      <c r="J141" s="127" t="inlineStr">
        <is>
          <t>techo 1400 ft</t>
        </is>
      </c>
      <c r="K141" s="127" t="inlineStr">
        <is>
          <t>SADM 061900Z 18012KT 9999 BKN014 OVC100 13/11 Q1001</t>
        </is>
      </c>
      <c r="L141" s="127" t="inlineStr">
        <is>
          <t>-</t>
        </is>
      </c>
    </row>
    <row r="142">
      <c r="A142" s="127" t="n">
        <v>4624020</v>
      </c>
      <c r="B142" s="128" t="n">
        <v>46240</v>
      </c>
      <c r="C142" s="127" t="n">
        <v>20</v>
      </c>
      <c r="D142" s="127" t="inlineStr">
        <is>
          <t>20 a 21</t>
        </is>
      </c>
      <c r="E142" s="127" t="inlineStr">
        <is>
          <t>IMC</t>
        </is>
      </c>
      <c r="F142" s="127" t="n">
        <v>500</v>
      </c>
      <c r="G142" s="127" t="n">
        <v>300</v>
      </c>
      <c r="H142" s="127" t="inlineStr">
        <is>
          <t>SI</t>
        </is>
      </c>
      <c r="I142" s="127" t="inlineStr">
        <is>
          <t>SADM 062000Z 23011KT 9999 BKN015 OVC100 13/11 Q1003</t>
        </is>
      </c>
      <c r="J142" s="127" t="inlineStr">
        <is>
          <t>vis 500 m + techo 300 ft</t>
        </is>
      </c>
      <c r="K142" s="127" t="inlineStr">
        <is>
          <t>SADM 062000Z 23011KT 9999 BKN015 OVC100 13/11 Q1003 || SADM 062017Z 21012KT 0800 +DZ OVC005 13/11 Q1003 || SADM 062023Z COR 21024G34KT 0500 +RA OVC003 13/11 Q1004</t>
        </is>
      </c>
      <c r="L142" s="127" t="inlineStr">
        <is>
          <t>-</t>
        </is>
      </c>
    </row>
    <row r="143">
      <c r="A143" s="127" t="n">
        <v>4624021</v>
      </c>
      <c r="B143" s="128" t="n">
        <v>46240</v>
      </c>
      <c r="C143" s="127" t="n">
        <v>21</v>
      </c>
      <c r="D143" s="127" t="inlineStr">
        <is>
          <t>21 a 22</t>
        </is>
      </c>
      <c r="E143" s="127" t="inlineStr">
        <is>
          <t>IMC</t>
        </is>
      </c>
      <c r="F143" s="127" t="n">
        <v>3000</v>
      </c>
      <c r="G143" s="127" t="n">
        <v>400</v>
      </c>
      <c r="H143" s="127" t="inlineStr">
        <is>
          <t>NO</t>
        </is>
      </c>
      <c r="I143" s="127" t="inlineStr">
        <is>
          <t>SADM 062100Z 20026KT 3000 RA BKN004 OVC050 13/12 Q1006</t>
        </is>
      </c>
      <c r="J143" s="127" t="inlineStr">
        <is>
          <t>vis 3000 m + techo 400 ft</t>
        </is>
      </c>
      <c r="K143" s="127" t="inlineStr">
        <is>
          <t>SADM 062100Z 20026KT 3000 RA BKN004 OVC050 13/12 Q1006</t>
        </is>
      </c>
      <c r="L143" s="127" t="inlineStr">
        <is>
          <t>-</t>
        </is>
      </c>
    </row>
    <row r="144">
      <c r="A144" s="127" t="n">
        <v>4624022</v>
      </c>
      <c r="B144" s="128" t="n">
        <v>46240</v>
      </c>
      <c r="C144" s="127" t="n">
        <v>22</v>
      </c>
      <c r="D144" s="127" t="inlineStr">
        <is>
          <t>22 a 23</t>
        </is>
      </c>
      <c r="E144" s="127" t="inlineStr">
        <is>
          <t>IMC</t>
        </is>
      </c>
      <c r="F144" s="127" t="n">
        <v>8000</v>
      </c>
      <c r="G144" s="127" t="n">
        <v>500</v>
      </c>
      <c r="H144" s="127" t="inlineStr">
        <is>
          <t>NO</t>
        </is>
      </c>
      <c r="I144" s="127" t="inlineStr">
        <is>
          <t>SADM 062200Z 20021KT 8000 -RA BKN005 OVC050 13/12 Q1008</t>
        </is>
      </c>
      <c r="J144" s="127" t="inlineStr">
        <is>
          <t>techo 500 ft</t>
        </is>
      </c>
      <c r="K144" s="127" t="inlineStr">
        <is>
          <t>SADM 062200Z 20021KT 8000 -RA BKN005 OVC050 13/12 Q1008</t>
        </is>
      </c>
      <c r="L144" s="127" t="inlineStr">
        <is>
          <t>-</t>
        </is>
      </c>
    </row>
    <row r="145">
      <c r="A145" t="n">
        <v>4624023</v>
      </c>
      <c r="B145" s="126" t="n">
        <v>46240</v>
      </c>
      <c r="C145" t="n">
        <v>23</v>
      </c>
      <c r="D145" t="inlineStr">
        <is>
          <t>23 a 00</t>
        </is>
      </c>
      <c r="E145" t="inlineStr">
        <is>
          <t>VMC</t>
        </is>
      </c>
      <c r="F145" t="inlineStr">
        <is>
          <t>ILIM</t>
        </is>
      </c>
      <c r="G145" t="n">
        <v>1900</v>
      </c>
      <c r="H145" t="inlineStr">
        <is>
          <t>NO</t>
        </is>
      </c>
      <c r="I145" t="inlineStr">
        <is>
          <t>SADM 062300Z 20016G26KT 9999 OVC019 09/06 Q1010</t>
        </is>
      </c>
      <c r="J145" t="inlineStr">
        <is>
          <t>s/d</t>
        </is>
      </c>
      <c r="K145" t="inlineStr">
        <is>
          <t>SADM 062300Z 20016G26KT 9999 OVC019 09/06 Q1010</t>
        </is>
      </c>
      <c r="L145" t="inlineStr">
        <is>
          <t>-</t>
        </is>
      </c>
    </row>
    <row r="146">
      <c r="A146" t="n">
        <v>4624100</v>
      </c>
      <c r="B146" s="126" t="n">
        <v>46241</v>
      </c>
      <c r="C146" t="n">
        <v>0</v>
      </c>
      <c r="D146" t="inlineStr">
        <is>
          <t>00 a 01</t>
        </is>
      </c>
      <c r="E146" t="inlineStr">
        <is>
          <t>VMC</t>
        </is>
      </c>
      <c r="F146" t="inlineStr">
        <is>
          <t>ILIM</t>
        </is>
      </c>
      <c r="G146" t="n">
        <v>2500</v>
      </c>
      <c r="H146" t="inlineStr">
        <is>
          <t>NO</t>
        </is>
      </c>
      <c r="I146" t="inlineStr">
        <is>
          <t>SADM 070000Z 20015G25KT 9999 FEW010 OVC025 09/06 Q1011</t>
        </is>
      </c>
      <c r="J146" t="inlineStr">
        <is>
          <t>s/d</t>
        </is>
      </c>
      <c r="K146" t="inlineStr">
        <is>
          <t>SADM 070000Z 20015G25KT 9999 FEW010 OVC025 09/06 Q1011</t>
        </is>
      </c>
      <c r="L146" t="inlineStr">
        <is>
          <t>-</t>
        </is>
      </c>
    </row>
    <row r="147">
      <c r="A147" t="n">
        <v>4624101</v>
      </c>
      <c r="B147" s="126" t="n">
        <v>46241</v>
      </c>
      <c r="C147" t="n">
        <v>1</v>
      </c>
      <c r="D147" t="inlineStr">
        <is>
          <t>01 a 02</t>
        </is>
      </c>
      <c r="E147" t="inlineStr">
        <is>
          <t>VMC</t>
        </is>
      </c>
      <c r="F147" t="inlineStr">
        <is>
          <t>ILIM</t>
        </is>
      </c>
      <c r="G147" t="n">
        <v>3000</v>
      </c>
      <c r="H147" t="inlineStr">
        <is>
          <t>NO</t>
        </is>
      </c>
      <c r="I147" t="inlineStr">
        <is>
          <t>SADM 070100Z 20019KT 9999 OVC030 08/05 Q1012</t>
        </is>
      </c>
      <c r="J147" t="inlineStr">
        <is>
          <t>s/d</t>
        </is>
      </c>
      <c r="K147" t="inlineStr">
        <is>
          <t>SADM 070100Z 20019KT 9999 OVC030 08/05 Q1012</t>
        </is>
      </c>
      <c r="L147" t="inlineStr">
        <is>
          <t>-</t>
        </is>
      </c>
    </row>
    <row r="148">
      <c r="A148" t="n">
        <v>4624102</v>
      </c>
      <c r="B148" s="126" t="n">
        <v>46241</v>
      </c>
      <c r="C148" t="n">
        <v>2</v>
      </c>
      <c r="D148" t="inlineStr">
        <is>
          <t>02 a 03</t>
        </is>
      </c>
      <c r="E148" t="inlineStr">
        <is>
          <t>VMC</t>
        </is>
      </c>
      <c r="F148" t="inlineStr">
        <is>
          <t>ILIM</t>
        </is>
      </c>
      <c r="G148" t="inlineStr">
        <is>
          <t>ILIM</t>
        </is>
      </c>
      <c r="H148" t="inlineStr">
        <is>
          <t>NO</t>
        </is>
      </c>
      <c r="I148" t="inlineStr">
        <is>
          <t>SADM 070200Z 20014KT 9999 FEW012 08/05 Q1013</t>
        </is>
      </c>
      <c r="J148" t="inlineStr">
        <is>
          <t>s/d</t>
        </is>
      </c>
      <c r="K148" t="inlineStr">
        <is>
          <t>SADM 070200Z 20014KT 9999 FEW012 08/05 Q1013</t>
        </is>
      </c>
      <c r="L148" t="inlineStr">
        <is>
          <t>-</t>
        </is>
      </c>
    </row>
    <row r="149">
      <c r="A149" t="n">
        <v>4624103</v>
      </c>
      <c r="B149" s="126" t="n">
        <v>46241</v>
      </c>
      <c r="C149" t="n">
        <v>3</v>
      </c>
      <c r="D149" t="inlineStr">
        <is>
          <t>03 a 04</t>
        </is>
      </c>
      <c r="E149" t="inlineStr">
        <is>
          <t>VMC</t>
        </is>
      </c>
      <c r="F149" t="inlineStr">
        <is>
          <t>ILIM</t>
        </is>
      </c>
      <c r="G149" t="inlineStr">
        <is>
          <t>ILIM</t>
        </is>
      </c>
      <c r="H149" t="inlineStr">
        <is>
          <t>NO</t>
        </is>
      </c>
      <c r="I149" t="inlineStr">
        <is>
          <t>SADM 070300Z 20012KT 9999 FEW012 SCT035 07/05 Q1013</t>
        </is>
      </c>
      <c r="J149" t="inlineStr">
        <is>
          <t>s/d</t>
        </is>
      </c>
      <c r="K149" t="inlineStr">
        <is>
          <t>SADM 070300Z 20012KT 9999 FEW012 SCT035 07/05 Q1013</t>
        </is>
      </c>
      <c r="L149" t="inlineStr">
        <is>
          <t>-</t>
        </is>
      </c>
    </row>
    <row r="150">
      <c r="A150" t="n">
        <v>4624104</v>
      </c>
      <c r="B150" s="126" t="n">
        <v>46241</v>
      </c>
      <c r="C150" t="n">
        <v>4</v>
      </c>
      <c r="D150" t="inlineStr">
        <is>
          <t>04 a 05</t>
        </is>
      </c>
      <c r="E150" t="inlineStr">
        <is>
          <t>VMC</t>
        </is>
      </c>
      <c r="F150" t="inlineStr">
        <is>
          <t>ILIM</t>
        </is>
      </c>
      <c r="G150" t="inlineStr">
        <is>
          <t>ILIM</t>
        </is>
      </c>
      <c r="H150" t="inlineStr">
        <is>
          <t>NO</t>
        </is>
      </c>
      <c r="I150" t="inlineStr">
        <is>
          <t>SADM 070400Z 20010KT CAVOK 07/05 Q1013</t>
        </is>
      </c>
      <c r="J150" t="inlineStr">
        <is>
          <t>s/d</t>
        </is>
      </c>
      <c r="K150" t="inlineStr">
        <is>
          <t>SADM 070400Z 20010KT CAVOK 07/05 Q1013</t>
        </is>
      </c>
      <c r="L150" t="inlineStr">
        <is>
          <t>-</t>
        </is>
      </c>
    </row>
    <row r="151">
      <c r="A151" t="n">
        <v>4624105</v>
      </c>
      <c r="B151" s="126" t="n">
        <v>46241</v>
      </c>
      <c r="C151" t="n">
        <v>5</v>
      </c>
      <c r="D151" t="inlineStr">
        <is>
          <t>05 a 06</t>
        </is>
      </c>
      <c r="E151" t="inlineStr">
        <is>
          <t>VMC</t>
        </is>
      </c>
      <c r="F151" t="inlineStr">
        <is>
          <t>ILIM</t>
        </is>
      </c>
      <c r="G151" t="inlineStr">
        <is>
          <t>ILIM</t>
        </is>
      </c>
      <c r="H151" t="inlineStr">
        <is>
          <t>NO</t>
        </is>
      </c>
      <c r="I151" t="inlineStr">
        <is>
          <t>SADM 070500Z 23010KT CAVOK 06/04 Q1013</t>
        </is>
      </c>
      <c r="J151" t="inlineStr">
        <is>
          <t>s/d</t>
        </is>
      </c>
      <c r="K151" t="inlineStr">
        <is>
          <t>SADM 070500Z 23010KT CAVOK 06/04 Q1013</t>
        </is>
      </c>
      <c r="L151" t="inlineStr">
        <is>
          <t>-</t>
        </is>
      </c>
    </row>
    <row r="152">
      <c r="A152" t="n">
        <v>4624106</v>
      </c>
      <c r="B152" s="126" t="n">
        <v>46241</v>
      </c>
      <c r="C152" t="n">
        <v>6</v>
      </c>
      <c r="D152" t="inlineStr">
        <is>
          <t>06 a 07</t>
        </is>
      </c>
      <c r="E152" t="inlineStr">
        <is>
          <t>VMC</t>
        </is>
      </c>
      <c r="F152" t="inlineStr">
        <is>
          <t>ILIM</t>
        </is>
      </c>
      <c r="G152" t="inlineStr">
        <is>
          <t>ILIM</t>
        </is>
      </c>
      <c r="H152" t="inlineStr">
        <is>
          <t>NO</t>
        </is>
      </c>
      <c r="I152" t="inlineStr">
        <is>
          <t>SADM 070600Z 23010KT CAVOK 06/04 Q1013</t>
        </is>
      </c>
      <c r="J152" t="inlineStr">
        <is>
          <t>s/d</t>
        </is>
      </c>
      <c r="K152" t="inlineStr">
        <is>
          <t>SADM 070600Z 23010KT CAVOK 06/04 Q1013</t>
        </is>
      </c>
      <c r="L152" t="inlineStr">
        <is>
          <t>-</t>
        </is>
      </c>
    </row>
    <row r="153">
      <c r="A153" t="n">
        <v>4624107</v>
      </c>
      <c r="B153" s="126" t="n">
        <v>46241</v>
      </c>
      <c r="C153" t="n">
        <v>7</v>
      </c>
      <c r="D153" t="inlineStr">
        <is>
          <t>07 a 08</t>
        </is>
      </c>
      <c r="E153" t="inlineStr">
        <is>
          <t>VMC</t>
        </is>
      </c>
      <c r="F153" t="inlineStr">
        <is>
          <t>ILIM</t>
        </is>
      </c>
      <c r="G153" t="inlineStr">
        <is>
          <t>ILIM</t>
        </is>
      </c>
      <c r="H153" t="inlineStr">
        <is>
          <t>NO</t>
        </is>
      </c>
      <c r="I153" t="inlineStr">
        <is>
          <t>SADM 070700Z 23010KT CAVOK 05/04 Q1013</t>
        </is>
      </c>
      <c r="J153" t="inlineStr">
        <is>
          <t>s/d</t>
        </is>
      </c>
      <c r="K153" t="inlineStr">
        <is>
          <t>SADM 070700Z 23010KT CAVOK 05/04 Q1013</t>
        </is>
      </c>
      <c r="L153" t="inlineStr">
        <is>
          <t>-</t>
        </is>
      </c>
    </row>
    <row r="154">
      <c r="A154" t="n">
        <v>4624108</v>
      </c>
      <c r="B154" s="126" t="n">
        <v>46241</v>
      </c>
      <c r="C154" t="n">
        <v>8</v>
      </c>
      <c r="D154" t="inlineStr">
        <is>
          <t>08 a 09</t>
        </is>
      </c>
      <c r="E154" t="inlineStr">
        <is>
          <t>VMC</t>
        </is>
      </c>
      <c r="F154" t="inlineStr">
        <is>
          <t>ILIM</t>
        </is>
      </c>
      <c r="G154" t="inlineStr">
        <is>
          <t>ILIM</t>
        </is>
      </c>
      <c r="H154" t="inlineStr">
        <is>
          <t>NO</t>
        </is>
      </c>
      <c r="I154" t="inlineStr">
        <is>
          <t>SADM 070800Z 25008KT CAVOK 06/04 Q1013</t>
        </is>
      </c>
      <c r="J154" t="inlineStr">
        <is>
          <t>s/d</t>
        </is>
      </c>
      <c r="K154" t="inlineStr">
        <is>
          <t>SADM 070800Z 25008KT CAVOK 06/04 Q1013</t>
        </is>
      </c>
      <c r="L154" t="inlineStr">
        <is>
          <t>-</t>
        </is>
      </c>
    </row>
    <row r="155">
      <c r="A155" t="n">
        <v>4624109</v>
      </c>
      <c r="B155" s="126" t="n">
        <v>46241</v>
      </c>
      <c r="C155" t="n">
        <v>9</v>
      </c>
      <c r="D155" t="inlineStr">
        <is>
          <t>09 a 10</t>
        </is>
      </c>
      <c r="E155" t="inlineStr">
        <is>
          <t>VMC</t>
        </is>
      </c>
      <c r="F155" t="inlineStr">
        <is>
          <t>ILIM</t>
        </is>
      </c>
      <c r="G155" t="inlineStr">
        <is>
          <t>ILIM</t>
        </is>
      </c>
      <c r="H155" t="inlineStr">
        <is>
          <t>NO</t>
        </is>
      </c>
      <c r="I155" t="inlineStr">
        <is>
          <t>COR SADM 070900Z 25004KT CAVOK 05/02 Q1013</t>
        </is>
      </c>
      <c r="J155" t="inlineStr">
        <is>
          <t>s/d</t>
        </is>
      </c>
      <c r="K155" t="inlineStr">
        <is>
          <t>COR SADM 070900Z 25004KT CAVOK 05/02 Q1013</t>
        </is>
      </c>
      <c r="L155" t="inlineStr">
        <is>
          <t>-</t>
        </is>
      </c>
    </row>
    <row r="156">
      <c r="A156" t="n">
        <v>4624110</v>
      </c>
      <c r="B156" s="126" t="n">
        <v>46241</v>
      </c>
      <c r="C156" t="n">
        <v>10</v>
      </c>
      <c r="D156" t="inlineStr">
        <is>
          <t>10 a 11</t>
        </is>
      </c>
      <c r="E156" t="inlineStr">
        <is>
          <t>VMC</t>
        </is>
      </c>
      <c r="F156" t="inlineStr">
        <is>
          <t>ILIM</t>
        </is>
      </c>
      <c r="G156" t="inlineStr">
        <is>
          <t>ILIM</t>
        </is>
      </c>
      <c r="H156" t="inlineStr">
        <is>
          <t>NO</t>
        </is>
      </c>
      <c r="I156" t="inlineStr">
        <is>
          <t>SADM 071000Z 25005KT CAVOK 04/03 Q1013</t>
        </is>
      </c>
      <c r="J156" t="inlineStr">
        <is>
          <t>s/d</t>
        </is>
      </c>
      <c r="K156" t="inlineStr">
        <is>
          <t>SADM 071000Z 25005KT CAVOK 04/03 Q1013</t>
        </is>
      </c>
      <c r="L156" t="inlineStr">
        <is>
          <t>-</t>
        </is>
      </c>
    </row>
    <row r="157">
      <c r="A157" t="n">
        <v>4624111</v>
      </c>
      <c r="B157" s="126" t="n">
        <v>46241</v>
      </c>
      <c r="C157" t="n">
        <v>11</v>
      </c>
      <c r="D157" t="inlineStr">
        <is>
          <t>11 a 12</t>
        </is>
      </c>
      <c r="E157" t="inlineStr">
        <is>
          <t>VMC</t>
        </is>
      </c>
      <c r="F157" t="inlineStr">
        <is>
          <t>ILIM</t>
        </is>
      </c>
      <c r="G157" t="inlineStr">
        <is>
          <t>ILIM</t>
        </is>
      </c>
      <c r="H157" t="inlineStr">
        <is>
          <t>NO</t>
        </is>
      </c>
      <c r="I157" t="inlineStr">
        <is>
          <t>SADM 071100Z 24005KT CAVOK 04/03 Q1013</t>
        </is>
      </c>
      <c r="J157" t="inlineStr">
        <is>
          <t>s/d</t>
        </is>
      </c>
      <c r="K157" t="inlineStr">
        <is>
          <t>SADM 071100Z 24005KT CAVOK 04/03 Q1013</t>
        </is>
      </c>
      <c r="L157" t="inlineStr">
        <is>
          <t>-</t>
        </is>
      </c>
    </row>
    <row r="158">
      <c r="A158" t="n">
        <v>4624112</v>
      </c>
      <c r="B158" s="126" t="n">
        <v>46241</v>
      </c>
      <c r="C158" t="n">
        <v>12</v>
      </c>
      <c r="D158" t="inlineStr">
        <is>
          <t>12 a 13</t>
        </is>
      </c>
      <c r="E158" t="inlineStr">
        <is>
          <t>VMC</t>
        </is>
      </c>
      <c r="F158" t="inlineStr">
        <is>
          <t>ILIM</t>
        </is>
      </c>
      <c r="G158" t="inlineStr">
        <is>
          <t>ILIM</t>
        </is>
      </c>
      <c r="H158" t="inlineStr">
        <is>
          <t>NO</t>
        </is>
      </c>
      <c r="I158" t="inlineStr">
        <is>
          <t>SADM 071200Z 27006KT CAVOK 05/03 Q1014</t>
        </is>
      </c>
      <c r="J158" t="inlineStr">
        <is>
          <t>s/d</t>
        </is>
      </c>
      <c r="K158" t="inlineStr">
        <is>
          <t>SADM 071200Z 27006KT CAVOK 05/03 Q1014</t>
        </is>
      </c>
      <c r="L158" t="inlineStr">
        <is>
          <t>-</t>
        </is>
      </c>
    </row>
    <row r="159">
      <c r="A159" t="n">
        <v>4624113</v>
      </c>
      <c r="B159" s="126" t="n">
        <v>46241</v>
      </c>
      <c r="C159" t="n">
        <v>13</v>
      </c>
      <c r="D159" t="inlineStr">
        <is>
          <t>13 a 14</t>
        </is>
      </c>
      <c r="E159" t="inlineStr">
        <is>
          <t>VMC</t>
        </is>
      </c>
      <c r="F159" t="inlineStr">
        <is>
          <t>ILIM</t>
        </is>
      </c>
      <c r="G159" t="inlineStr">
        <is>
          <t>ILIM</t>
        </is>
      </c>
      <c r="H159" t="inlineStr">
        <is>
          <t>NO</t>
        </is>
      </c>
      <c r="I159" t="inlineStr">
        <is>
          <t>SADM 071300Z 28007KT CAVOK 07/04 Q1015</t>
        </is>
      </c>
      <c r="J159" t="inlineStr">
        <is>
          <t>s/d</t>
        </is>
      </c>
      <c r="K159" t="inlineStr">
        <is>
          <t>SADM 071300Z 28007KT CAVOK 07/04 Q1015</t>
        </is>
      </c>
      <c r="L159" t="inlineStr">
        <is>
          <t>-</t>
        </is>
      </c>
    </row>
    <row r="160">
      <c r="A160" t="n">
        <v>4624114</v>
      </c>
      <c r="B160" s="126" t="n">
        <v>46241</v>
      </c>
      <c r="C160" t="n">
        <v>14</v>
      </c>
      <c r="D160" t="inlineStr">
        <is>
          <t>14 a 15</t>
        </is>
      </c>
      <c r="E160" t="inlineStr">
        <is>
          <t>VMC</t>
        </is>
      </c>
      <c r="F160" t="inlineStr">
        <is>
          <t>ILIM</t>
        </is>
      </c>
      <c r="G160" t="inlineStr">
        <is>
          <t>ILIM</t>
        </is>
      </c>
      <c r="H160" t="inlineStr">
        <is>
          <t>NO</t>
        </is>
      </c>
      <c r="I160" t="inlineStr">
        <is>
          <t>SADM 071400Z 28009KT CAVOK 10/04 Q1015</t>
        </is>
      </c>
      <c r="J160" t="inlineStr">
        <is>
          <t>s/d</t>
        </is>
      </c>
      <c r="K160" t="inlineStr">
        <is>
          <t>SADM 071400Z 28009KT CAVOK 10/04 Q1015</t>
        </is>
      </c>
      <c r="L160" t="inlineStr">
        <is>
          <t>-</t>
        </is>
      </c>
    </row>
    <row r="161">
      <c r="A161" t="n">
        <v>4624115</v>
      </c>
      <c r="B161" s="126" t="n">
        <v>46241</v>
      </c>
      <c r="C161" t="n">
        <v>15</v>
      </c>
      <c r="D161" t="inlineStr">
        <is>
          <t>15 a 16</t>
        </is>
      </c>
      <c r="E161" t="inlineStr">
        <is>
          <t>VMC</t>
        </is>
      </c>
      <c r="F161" t="inlineStr">
        <is>
          <t>ILIM</t>
        </is>
      </c>
      <c r="G161" t="inlineStr">
        <is>
          <t>ILIM</t>
        </is>
      </c>
      <c r="H161" t="inlineStr">
        <is>
          <t>NO</t>
        </is>
      </c>
      <c r="I161" t="inlineStr">
        <is>
          <t>SADM 071500Z 27011KT CAVOK 10/04 Q1014</t>
        </is>
      </c>
      <c r="J161" t="inlineStr">
        <is>
          <t>s/d</t>
        </is>
      </c>
      <c r="K161" t="inlineStr">
        <is>
          <t>SADM 071500Z 27011KT CAVOK 10/04 Q1014</t>
        </is>
      </c>
      <c r="L161" t="inlineStr">
        <is>
          <t>-</t>
        </is>
      </c>
    </row>
    <row r="162">
      <c r="A162" t="n">
        <v>4624116</v>
      </c>
      <c r="B162" s="126" t="n">
        <v>46241</v>
      </c>
      <c r="C162" t="n">
        <v>16</v>
      </c>
      <c r="D162" t="inlineStr">
        <is>
          <t>16 a 17</t>
        </is>
      </c>
      <c r="E162" t="inlineStr">
        <is>
          <t>VMC</t>
        </is>
      </c>
      <c r="F162" t="inlineStr">
        <is>
          <t>ILIM</t>
        </is>
      </c>
      <c r="G162" t="inlineStr">
        <is>
          <t>ILIM</t>
        </is>
      </c>
      <c r="H162" t="inlineStr">
        <is>
          <t>NO</t>
        </is>
      </c>
      <c r="I162" t="inlineStr">
        <is>
          <t>SADM 071600Z 27011KT 9999 SCT036 12/02 Q1013</t>
        </is>
      </c>
      <c r="J162" t="inlineStr">
        <is>
          <t>s/d</t>
        </is>
      </c>
      <c r="K162" t="inlineStr">
        <is>
          <t>SADM 071600Z 27011KT 9999 SCT036 12/02 Q1013</t>
        </is>
      </c>
      <c r="L162" t="inlineStr">
        <is>
          <t>-</t>
        </is>
      </c>
    </row>
    <row r="163">
      <c r="A163" t="n">
        <v>4624117</v>
      </c>
      <c r="B163" s="126" t="n">
        <v>46241</v>
      </c>
      <c r="C163" t="n">
        <v>17</v>
      </c>
      <c r="D163" t="inlineStr">
        <is>
          <t>17 a 18</t>
        </is>
      </c>
      <c r="E163" t="inlineStr">
        <is>
          <t>VMC</t>
        </is>
      </c>
      <c r="F163" t="inlineStr">
        <is>
          <t>ILIM</t>
        </is>
      </c>
      <c r="G163" t="inlineStr">
        <is>
          <t>ILIM</t>
        </is>
      </c>
      <c r="H163" t="inlineStr">
        <is>
          <t>NO</t>
        </is>
      </c>
      <c r="I163" t="inlineStr">
        <is>
          <t>SADM 071700Z 27012KT 9999 SCT040 12/01 Q1012</t>
        </is>
      </c>
      <c r="J163" t="inlineStr">
        <is>
          <t>s/d</t>
        </is>
      </c>
      <c r="K163" t="inlineStr">
        <is>
          <t>SADM 071700Z 27012KT 9999 SCT040 12/01 Q1012</t>
        </is>
      </c>
      <c r="L163" t="inlineStr">
        <is>
          <t>-</t>
        </is>
      </c>
    </row>
    <row r="164">
      <c r="A164" t="n">
        <v>4624118</v>
      </c>
      <c r="B164" s="126" t="n">
        <v>46241</v>
      </c>
      <c r="C164" t="n">
        <v>18</v>
      </c>
      <c r="D164" t="inlineStr">
        <is>
          <t>18 a 19</t>
        </is>
      </c>
      <c r="E164" t="inlineStr">
        <is>
          <t>VMC</t>
        </is>
      </c>
      <c r="F164" t="inlineStr">
        <is>
          <t>ILIM</t>
        </is>
      </c>
      <c r="G164" t="inlineStr">
        <is>
          <t>ILIM</t>
        </is>
      </c>
      <c r="H164" t="inlineStr">
        <is>
          <t>NO</t>
        </is>
      </c>
      <c r="I164" t="inlineStr">
        <is>
          <t>SADM 071800Z 29013KT 9999 FEW042 13/02 Q1010</t>
        </is>
      </c>
      <c r="J164" t="inlineStr">
        <is>
          <t>s/d</t>
        </is>
      </c>
      <c r="K164" t="inlineStr">
        <is>
          <t>SADM 071800Z 29013KT 9999 FEW042 13/02 Q1010</t>
        </is>
      </c>
      <c r="L164" t="inlineStr">
        <is>
          <t>-</t>
        </is>
      </c>
    </row>
    <row r="165">
      <c r="A165" t="n">
        <v>4624119</v>
      </c>
      <c r="B165" s="126" t="n">
        <v>46241</v>
      </c>
      <c r="C165" t="n">
        <v>19</v>
      </c>
      <c r="D165" t="inlineStr">
        <is>
          <t>19 a 20</t>
        </is>
      </c>
      <c r="E165" t="inlineStr">
        <is>
          <t>VMC</t>
        </is>
      </c>
      <c r="F165" t="inlineStr">
        <is>
          <t>ILIM</t>
        </is>
      </c>
      <c r="G165" t="inlineStr">
        <is>
          <t>ILIM</t>
        </is>
      </c>
      <c r="H165" t="inlineStr">
        <is>
          <t>NO</t>
        </is>
      </c>
      <c r="I165" t="inlineStr">
        <is>
          <t>SADM 071900Z 29011KT 9999 FEW042 13/01 Q1010</t>
        </is>
      </c>
      <c r="J165" t="inlineStr">
        <is>
          <t>s/d</t>
        </is>
      </c>
      <c r="K165" t="inlineStr">
        <is>
          <t>SADM 071900Z 29011KT 9999 FEW042 13/01 Q1010</t>
        </is>
      </c>
      <c r="L165" t="inlineStr">
        <is>
          <t>-</t>
        </is>
      </c>
    </row>
    <row r="166">
      <c r="A166" t="n">
        <v>4624120</v>
      </c>
      <c r="B166" s="126" t="n">
        <v>46241</v>
      </c>
      <c r="C166" t="n">
        <v>20</v>
      </c>
      <c r="D166" t="inlineStr">
        <is>
          <t>20 a 21</t>
        </is>
      </c>
      <c r="E166" t="inlineStr">
        <is>
          <t>VMC</t>
        </is>
      </c>
      <c r="F166" t="inlineStr">
        <is>
          <t>ILIM</t>
        </is>
      </c>
      <c r="G166" t="inlineStr">
        <is>
          <t>ILIM</t>
        </is>
      </c>
      <c r="H166" t="inlineStr">
        <is>
          <t>NO</t>
        </is>
      </c>
      <c r="I166" t="inlineStr">
        <is>
          <t>SADM 072000Z 30013KT CAVOK 13/02 Q1009</t>
        </is>
      </c>
      <c r="J166" t="inlineStr">
        <is>
          <t>s/d</t>
        </is>
      </c>
      <c r="K166" t="inlineStr">
        <is>
          <t>SADM 072000Z 30013KT CAVOK 13/02 Q1009</t>
        </is>
      </c>
      <c r="L166" t="inlineStr">
        <is>
          <t>-</t>
        </is>
      </c>
    </row>
    <row r="167">
      <c r="A167" t="n">
        <v>4624121</v>
      </c>
      <c r="B167" s="126" t="n">
        <v>46241</v>
      </c>
      <c r="C167" t="n">
        <v>21</v>
      </c>
      <c r="D167" t="inlineStr">
        <is>
          <t>21 a 22</t>
        </is>
      </c>
      <c r="E167" t="inlineStr">
        <is>
          <t>VMC</t>
        </is>
      </c>
      <c r="F167" t="inlineStr">
        <is>
          <t>ILIM</t>
        </is>
      </c>
      <c r="G167" t="inlineStr">
        <is>
          <t>ILIM</t>
        </is>
      </c>
      <c r="H167" t="inlineStr">
        <is>
          <t>NO</t>
        </is>
      </c>
      <c r="I167" t="inlineStr">
        <is>
          <t>SADM 072100Z 34008KT CAVOK 12/03 Q1008</t>
        </is>
      </c>
      <c r="J167" t="inlineStr">
        <is>
          <t>s/d</t>
        </is>
      </c>
      <c r="K167" t="inlineStr">
        <is>
          <t>SADM 072100Z 34008KT CAVOK 12/03 Q1008</t>
        </is>
      </c>
      <c r="L167" t="inlineStr">
        <is>
          <t>-</t>
        </is>
      </c>
    </row>
    <row r="168">
      <c r="A168" t="n">
        <v>4624122</v>
      </c>
      <c r="B168" s="126" t="n">
        <v>46241</v>
      </c>
      <c r="C168" t="n">
        <v>22</v>
      </c>
      <c r="D168" t="inlineStr">
        <is>
          <t>22 a 23</t>
        </is>
      </c>
      <c r="E168" t="inlineStr">
        <is>
          <t>VMC</t>
        </is>
      </c>
      <c r="F168" t="inlineStr">
        <is>
          <t>ILIM</t>
        </is>
      </c>
      <c r="G168" t="inlineStr">
        <is>
          <t>ILIM</t>
        </is>
      </c>
      <c r="H168" t="inlineStr">
        <is>
          <t>NO</t>
        </is>
      </c>
      <c r="I168" t="inlineStr">
        <is>
          <t>SADM 072200Z 34007KT CAVOK 10/03 Q1008</t>
        </is>
      </c>
      <c r="J168" t="inlineStr">
        <is>
          <t>s/d</t>
        </is>
      </c>
      <c r="K168" t="inlineStr">
        <is>
          <t>SADM 072200Z 34007KT CAVOK 10/03 Q1008</t>
        </is>
      </c>
      <c r="L168" t="inlineStr">
        <is>
          <t>-</t>
        </is>
      </c>
    </row>
    <row r="169">
      <c r="A169" t="n">
        <v>4624123</v>
      </c>
      <c r="B169" s="126" t="n">
        <v>46241</v>
      </c>
      <c r="C169" t="n">
        <v>23</v>
      </c>
      <c r="D169" t="inlineStr">
        <is>
          <t>23 a 00</t>
        </is>
      </c>
      <c r="E169" t="inlineStr">
        <is>
          <t>VMC</t>
        </is>
      </c>
      <c r="F169" t="inlineStr">
        <is>
          <t>ILIM</t>
        </is>
      </c>
      <c r="G169" t="inlineStr">
        <is>
          <t>ILIM</t>
        </is>
      </c>
      <c r="H169" t="inlineStr">
        <is>
          <t>NO</t>
        </is>
      </c>
      <c r="I169" t="inlineStr">
        <is>
          <t>SADM 072300Z 36007KT CAVOK 10/03 Q1007</t>
        </is>
      </c>
      <c r="J169" t="inlineStr">
        <is>
          <t>s/d</t>
        </is>
      </c>
      <c r="K169" t="inlineStr">
        <is>
          <t>SADM 072300Z 36007KT CAVOK 10/03 Q1007</t>
        </is>
      </c>
      <c r="L169" t="inlineStr">
        <is>
          <t>-</t>
        </is>
      </c>
    </row>
    <row r="170">
      <c r="A170" t="n">
        <v>4624200</v>
      </c>
      <c r="B170" s="126" t="n">
        <v>46242</v>
      </c>
      <c r="C170" t="n">
        <v>0</v>
      </c>
      <c r="D170" t="inlineStr">
        <is>
          <t>00 a 01</t>
        </is>
      </c>
      <c r="E170" t="inlineStr">
        <is>
          <t>VMC</t>
        </is>
      </c>
      <c r="F170" t="inlineStr">
        <is>
          <t>ILIM</t>
        </is>
      </c>
      <c r="G170" t="inlineStr">
        <is>
          <t>ILIM</t>
        </is>
      </c>
      <c r="H170" t="inlineStr">
        <is>
          <t>NO</t>
        </is>
      </c>
      <c r="I170" t="inlineStr">
        <is>
          <t>SADM 080000Z 36007KT CAVOK 09/03 Q1007</t>
        </is>
      </c>
      <c r="J170" t="inlineStr">
        <is>
          <t>s/d</t>
        </is>
      </c>
      <c r="K170" t="inlineStr">
        <is>
          <t>SADM 080000Z 36007KT CAVOK 09/03 Q1007</t>
        </is>
      </c>
      <c r="L170" t="inlineStr">
        <is>
          <t>-</t>
        </is>
      </c>
    </row>
    <row r="171">
      <c r="A171" t="n">
        <v>4624201</v>
      </c>
      <c r="B171" s="126" t="n">
        <v>46242</v>
      </c>
      <c r="C171" t="n">
        <v>1</v>
      </c>
      <c r="D171" t="inlineStr">
        <is>
          <t>01 a 02</t>
        </is>
      </c>
      <c r="E171" t="inlineStr">
        <is>
          <t>VMC</t>
        </is>
      </c>
      <c r="F171" t="inlineStr">
        <is>
          <t>ILIM</t>
        </is>
      </c>
      <c r="G171" t="inlineStr">
        <is>
          <t>ILIM</t>
        </is>
      </c>
      <c r="H171" t="inlineStr">
        <is>
          <t>NO</t>
        </is>
      </c>
      <c r="I171" t="inlineStr">
        <is>
          <t>SADM 080100Z 36006KT CAVOK 08/03 Q1007</t>
        </is>
      </c>
      <c r="J171" t="inlineStr">
        <is>
          <t>s/d</t>
        </is>
      </c>
      <c r="K171" t="inlineStr">
        <is>
          <t>SADM 080100Z 36006KT CAVOK 08/03 Q1007</t>
        </is>
      </c>
      <c r="L171" t="inlineStr">
        <is>
          <t>-</t>
        </is>
      </c>
    </row>
    <row r="172">
      <c r="A172" t="n">
        <v>4624202</v>
      </c>
      <c r="B172" s="126" t="n">
        <v>46242</v>
      </c>
      <c r="C172" t="n">
        <v>2</v>
      </c>
      <c r="D172" t="inlineStr">
        <is>
          <t>02 a 03</t>
        </is>
      </c>
      <c r="E172" t="inlineStr">
        <is>
          <t>VMC</t>
        </is>
      </c>
      <c r="F172" t="inlineStr">
        <is>
          <t>ILIM</t>
        </is>
      </c>
      <c r="G172" t="inlineStr">
        <is>
          <t>ILIM</t>
        </is>
      </c>
      <c r="H172" t="inlineStr">
        <is>
          <t>NO</t>
        </is>
      </c>
      <c r="I172" t="inlineStr">
        <is>
          <t>SADM 080200Z 34005KT CAVOK 08/04 Q1007</t>
        </is>
      </c>
      <c r="J172" t="inlineStr">
        <is>
          <t>s/d</t>
        </is>
      </c>
      <c r="K172" t="inlineStr">
        <is>
          <t>SADM 080200Z 34005KT CAVOK 08/04 Q1007</t>
        </is>
      </c>
      <c r="L172" t="inlineStr">
        <is>
          <t>-</t>
        </is>
      </c>
    </row>
    <row r="173">
      <c r="A173" t="n">
        <v>4624203</v>
      </c>
      <c r="B173" s="126" t="n">
        <v>46242</v>
      </c>
      <c r="C173" t="n">
        <v>3</v>
      </c>
      <c r="D173" t="inlineStr">
        <is>
          <t>03 a 04</t>
        </is>
      </c>
      <c r="E173" t="inlineStr">
        <is>
          <t>VMC</t>
        </is>
      </c>
      <c r="F173" t="inlineStr">
        <is>
          <t>ILIM</t>
        </is>
      </c>
      <c r="G173" t="inlineStr">
        <is>
          <t>ILIM</t>
        </is>
      </c>
      <c r="H173" t="inlineStr">
        <is>
          <t>NO</t>
        </is>
      </c>
      <c r="I173" t="inlineStr">
        <is>
          <t>SADM 080300Z 34006KT CAVOK 07/04 Q1007</t>
        </is>
      </c>
      <c r="J173" t="inlineStr">
        <is>
          <t>s/d</t>
        </is>
      </c>
      <c r="K173" t="inlineStr">
        <is>
          <t>SADM 080300Z 34006KT CAVOK 07/04 Q1007</t>
        </is>
      </c>
      <c r="L173" t="inlineStr">
        <is>
          <t>-</t>
        </is>
      </c>
    </row>
    <row r="174">
      <c r="A174" t="n">
        <v>4624204</v>
      </c>
      <c r="B174" s="126" t="n">
        <v>46242</v>
      </c>
      <c r="C174" t="n">
        <v>4</v>
      </c>
      <c r="D174" t="inlineStr">
        <is>
          <t>04 a 05</t>
        </is>
      </c>
      <c r="E174" t="inlineStr">
        <is>
          <t>VMC</t>
        </is>
      </c>
      <c r="F174" t="inlineStr">
        <is>
          <t>ILIM</t>
        </is>
      </c>
      <c r="G174" t="inlineStr">
        <is>
          <t>ILIM</t>
        </is>
      </c>
      <c r="H174" t="inlineStr">
        <is>
          <t>NO</t>
        </is>
      </c>
      <c r="I174" t="inlineStr">
        <is>
          <t>SADM 080400Z 36005KT CAVOK 07/04 Q1007</t>
        </is>
      </c>
      <c r="J174" t="inlineStr">
        <is>
          <t>s/d</t>
        </is>
      </c>
      <c r="K174" t="inlineStr">
        <is>
          <t>SADM 080400Z 36005KT CAVOK 07/04 Q1007</t>
        </is>
      </c>
      <c r="L174" t="inlineStr">
        <is>
          <t>-</t>
        </is>
      </c>
    </row>
    <row r="175">
      <c r="A175" t="n">
        <v>4624205</v>
      </c>
      <c r="B175" s="126" t="n">
        <v>46242</v>
      </c>
      <c r="C175" t="n">
        <v>5</v>
      </c>
      <c r="D175" t="inlineStr">
        <is>
          <t>05 a 06</t>
        </is>
      </c>
      <c r="E175" t="inlineStr">
        <is>
          <t>VMC</t>
        </is>
      </c>
      <c r="F175" t="inlineStr">
        <is>
          <t>ILIM</t>
        </is>
      </c>
      <c r="G175" t="inlineStr">
        <is>
          <t>ILIM</t>
        </is>
      </c>
      <c r="H175" t="inlineStr">
        <is>
          <t>NO</t>
        </is>
      </c>
      <c r="I175" t="inlineStr">
        <is>
          <t>SADM 080500Z 36005KT CAVOK 07/04 Q1006</t>
        </is>
      </c>
      <c r="J175" t="inlineStr">
        <is>
          <t>s/d</t>
        </is>
      </c>
      <c r="K175" t="inlineStr">
        <is>
          <t>SADM 080500Z 36005KT CAVOK 07/04 Q1006</t>
        </is>
      </c>
      <c r="L175" t="inlineStr">
        <is>
          <t>-</t>
        </is>
      </c>
    </row>
    <row r="176">
      <c r="A176" t="n">
        <v>4624206</v>
      </c>
      <c r="B176" s="126" t="n">
        <v>46242</v>
      </c>
      <c r="C176" t="n">
        <v>6</v>
      </c>
      <c r="D176" t="inlineStr">
        <is>
          <t>06 a 07</t>
        </is>
      </c>
      <c r="E176" t="inlineStr">
        <is>
          <t>VMC</t>
        </is>
      </c>
      <c r="F176" t="inlineStr">
        <is>
          <t>ILIM</t>
        </is>
      </c>
      <c r="G176" t="inlineStr">
        <is>
          <t>ILIM</t>
        </is>
      </c>
      <c r="H176" t="inlineStr">
        <is>
          <t>NO</t>
        </is>
      </c>
      <c r="I176" t="inlineStr">
        <is>
          <t>SADM 080600Z 36006KT CAVOK 07/04 Q1006</t>
        </is>
      </c>
      <c r="J176" t="inlineStr">
        <is>
          <t>s/d</t>
        </is>
      </c>
      <c r="K176" t="inlineStr">
        <is>
          <t>SADM 080600Z 36006KT CAVOK 07/04 Q1006</t>
        </is>
      </c>
      <c r="L176" t="inlineStr">
        <is>
          <t>-</t>
        </is>
      </c>
    </row>
    <row r="177">
      <c r="A177" s="129" t="n">
        <v>4624207</v>
      </c>
      <c r="B177" s="130" t="n">
        <v>46242</v>
      </c>
      <c r="C177" s="129" t="n">
        <v>7</v>
      </c>
      <c r="D177" s="129" t="inlineStr">
        <is>
          <t>07 a 08</t>
        </is>
      </c>
      <c r="E177" s="129" t="inlineStr">
        <is>
          <t>SIN DATO</t>
        </is>
      </c>
      <c r="F177" s="129" t="inlineStr">
        <is>
          <t>s/d</t>
        </is>
      </c>
      <c r="G177" s="129" t="inlineStr">
        <is>
          <t>s/d</t>
        </is>
      </c>
      <c r="H177" s="129" t="inlineStr">
        <is>
          <t>NO</t>
        </is>
      </c>
      <c r="I177" s="129" t="inlineStr">
        <is>
          <t>s/d</t>
        </is>
      </c>
      <c r="J177" s="129" t="inlineStr">
        <is>
          <t>s/d</t>
        </is>
      </c>
      <c r="K177" s="129" t="inlineStr">
        <is>
          <t>s/d</t>
        </is>
      </c>
      <c r="L177" s="129" t="inlineStr">
        <is>
          <t>-</t>
        </is>
      </c>
    </row>
    <row r="178">
      <c r="A178" t="n">
        <v>4624208</v>
      </c>
      <c r="B178" s="126" t="n">
        <v>46242</v>
      </c>
      <c r="C178" t="n">
        <v>8</v>
      </c>
      <c r="D178" t="inlineStr">
        <is>
          <t>08 a 09</t>
        </is>
      </c>
      <c r="E178" t="inlineStr">
        <is>
          <t>VMC</t>
        </is>
      </c>
      <c r="F178" t="inlineStr">
        <is>
          <t>ILIM</t>
        </is>
      </c>
      <c r="G178" t="inlineStr">
        <is>
          <t>ILIM</t>
        </is>
      </c>
      <c r="H178" t="inlineStr">
        <is>
          <t>NO</t>
        </is>
      </c>
      <c r="I178" t="inlineStr">
        <is>
          <t>SADM 080800Z 34009KT CAVOK 06/04 Q1006</t>
        </is>
      </c>
      <c r="J178" t="inlineStr">
        <is>
          <t>s/d</t>
        </is>
      </c>
      <c r="K178" t="inlineStr">
        <is>
          <t>SADM 080800Z 34009KT CAVOK 06/04 Q1006</t>
        </is>
      </c>
      <c r="L178" t="inlineStr">
        <is>
          <t>-</t>
        </is>
      </c>
    </row>
    <row r="179">
      <c r="A179" t="n">
        <v>4624209</v>
      </c>
      <c r="B179" s="126" t="n">
        <v>46242</v>
      </c>
      <c r="C179" t="n">
        <v>9</v>
      </c>
      <c r="D179" t="inlineStr">
        <is>
          <t>09 a 10</t>
        </is>
      </c>
      <c r="E179" t="inlineStr">
        <is>
          <t>VMC</t>
        </is>
      </c>
      <c r="F179" t="inlineStr">
        <is>
          <t>ILIM</t>
        </is>
      </c>
      <c r="G179" t="inlineStr">
        <is>
          <t>ILIM</t>
        </is>
      </c>
      <c r="H179" t="inlineStr">
        <is>
          <t>NO</t>
        </is>
      </c>
      <c r="I179" t="inlineStr">
        <is>
          <t>SADM 080900Z 34009KT CAVOK 05/04 Q1006</t>
        </is>
      </c>
      <c r="J179" t="inlineStr">
        <is>
          <t>s/d</t>
        </is>
      </c>
      <c r="K179" t="inlineStr">
        <is>
          <t>SADM 080900Z 34009KT CAVOK 05/04 Q1006</t>
        </is>
      </c>
      <c r="L179" t="inlineStr">
        <is>
          <t>-</t>
        </is>
      </c>
    </row>
    <row r="180">
      <c r="A180" t="n">
        <v>4624210</v>
      </c>
      <c r="B180" s="126" t="n">
        <v>46242</v>
      </c>
      <c r="C180" t="n">
        <v>10</v>
      </c>
      <c r="D180" t="inlineStr">
        <is>
          <t>10 a 11</t>
        </is>
      </c>
      <c r="E180" t="inlineStr">
        <is>
          <t>VMC</t>
        </is>
      </c>
      <c r="F180" t="inlineStr">
        <is>
          <t>ILIM</t>
        </is>
      </c>
      <c r="G180" t="inlineStr">
        <is>
          <t>ILIM</t>
        </is>
      </c>
      <c r="H180" t="inlineStr">
        <is>
          <t>NO</t>
        </is>
      </c>
      <c r="I180" t="inlineStr">
        <is>
          <t>SADM 081000Z 29006KT CAVOK 06/04 Q1006</t>
        </is>
      </c>
      <c r="J180" t="inlineStr">
        <is>
          <t>s/d</t>
        </is>
      </c>
      <c r="K180" t="inlineStr">
        <is>
          <t>SADM 081000Z 29006KT CAVOK 06/04 Q1006</t>
        </is>
      </c>
      <c r="L180" t="inlineStr">
        <is>
          <t>-</t>
        </is>
      </c>
    </row>
    <row r="181">
      <c r="A181" t="n">
        <v>4624211</v>
      </c>
      <c r="B181" s="126" t="n">
        <v>46242</v>
      </c>
      <c r="C181" t="n">
        <v>11</v>
      </c>
      <c r="D181" t="inlineStr">
        <is>
          <t>11 a 12</t>
        </is>
      </c>
      <c r="E181" t="inlineStr">
        <is>
          <t>VMC</t>
        </is>
      </c>
      <c r="F181" t="inlineStr">
        <is>
          <t>ILIM</t>
        </is>
      </c>
      <c r="G181" t="inlineStr">
        <is>
          <t>ILIM</t>
        </is>
      </c>
      <c r="H181" t="inlineStr">
        <is>
          <t>NO</t>
        </is>
      </c>
      <c r="I181" t="inlineStr">
        <is>
          <t>SADM 081100Z 27008KT CAVOK 06/04 Q1007</t>
        </is>
      </c>
      <c r="J181" t="inlineStr">
        <is>
          <t>s/d</t>
        </is>
      </c>
      <c r="K181" t="inlineStr">
        <is>
          <t>SADM 081100Z 27008KT CAVOK 06/04 Q1007</t>
        </is>
      </c>
      <c r="L181" t="inlineStr">
        <is>
          <t>-</t>
        </is>
      </c>
    </row>
    <row r="182">
      <c r="A182" t="n">
        <v>4624212</v>
      </c>
      <c r="B182" s="126" t="n">
        <v>46242</v>
      </c>
      <c r="C182" t="n">
        <v>12</v>
      </c>
      <c r="D182" t="inlineStr">
        <is>
          <t>12 a 13</t>
        </is>
      </c>
      <c r="E182" t="inlineStr">
        <is>
          <t>VMC</t>
        </is>
      </c>
      <c r="F182" t="inlineStr">
        <is>
          <t>ILIM</t>
        </is>
      </c>
      <c r="G182" t="inlineStr">
        <is>
          <t>ILIM</t>
        </is>
      </c>
      <c r="H182" t="inlineStr">
        <is>
          <t>NO</t>
        </is>
      </c>
      <c r="I182" t="inlineStr">
        <is>
          <t>SADM 081200Z 25009KT CAVOK 07/03 Q1008</t>
        </is>
      </c>
      <c r="J182" t="inlineStr">
        <is>
          <t>s/d</t>
        </is>
      </c>
      <c r="K182" t="inlineStr">
        <is>
          <t>SADM 081200Z 25009KT CAVOK 07/03 Q1008</t>
        </is>
      </c>
      <c r="L182" t="inlineStr">
        <is>
          <t>-</t>
        </is>
      </c>
    </row>
    <row r="183">
      <c r="A183" t="n">
        <v>4624213</v>
      </c>
      <c r="B183" s="126" t="n">
        <v>46242</v>
      </c>
      <c r="C183" t="n">
        <v>13</v>
      </c>
      <c r="D183" t="inlineStr">
        <is>
          <t>13 a 14</t>
        </is>
      </c>
      <c r="E183" t="inlineStr">
        <is>
          <t>VMC</t>
        </is>
      </c>
      <c r="F183" t="inlineStr">
        <is>
          <t>ILIM</t>
        </is>
      </c>
      <c r="G183" t="inlineStr">
        <is>
          <t>ILIM</t>
        </is>
      </c>
      <c r="H183" t="inlineStr">
        <is>
          <t>NO</t>
        </is>
      </c>
      <c r="I183" t="inlineStr">
        <is>
          <t>SADM 081300Z 25009KT CAVOK 07/02 Q1009</t>
        </is>
      </c>
      <c r="J183" t="inlineStr">
        <is>
          <t>s/d</t>
        </is>
      </c>
      <c r="K183" t="inlineStr">
        <is>
          <t>SADM 081300Z 25009KT CAVOK 07/02 Q1009</t>
        </is>
      </c>
      <c r="L183" t="inlineStr">
        <is>
          <t>-</t>
        </is>
      </c>
    </row>
    <row r="184">
      <c r="A184" t="n">
        <v>4624214</v>
      </c>
      <c r="B184" s="126" t="n">
        <v>46242</v>
      </c>
      <c r="C184" t="n">
        <v>14</v>
      </c>
      <c r="D184" t="inlineStr">
        <is>
          <t>14 a 15</t>
        </is>
      </c>
      <c r="E184" t="inlineStr">
        <is>
          <t>VMC</t>
        </is>
      </c>
      <c r="F184" t="inlineStr">
        <is>
          <t>ILIM</t>
        </is>
      </c>
      <c r="G184" t="inlineStr">
        <is>
          <t>ILIM</t>
        </is>
      </c>
      <c r="H184" t="inlineStr">
        <is>
          <t>NO</t>
        </is>
      </c>
      <c r="I184" t="inlineStr">
        <is>
          <t>SADM 081400Z 25011KT CAVOK 09/01 Q1009</t>
        </is>
      </c>
      <c r="J184" t="inlineStr">
        <is>
          <t>s/d</t>
        </is>
      </c>
      <c r="K184" t="inlineStr">
        <is>
          <t>SADM 081400Z 25011KT CAVOK 09/01 Q1009</t>
        </is>
      </c>
      <c r="L184" t="inlineStr">
        <is>
          <t>-</t>
        </is>
      </c>
    </row>
    <row r="185">
      <c r="A185" t="n">
        <v>4624215</v>
      </c>
      <c r="B185" s="126" t="n">
        <v>46242</v>
      </c>
      <c r="C185" t="n">
        <v>15</v>
      </c>
      <c r="D185" t="inlineStr">
        <is>
          <t>15 a 16</t>
        </is>
      </c>
      <c r="E185" t="inlineStr">
        <is>
          <t>VMC</t>
        </is>
      </c>
      <c r="F185" t="inlineStr">
        <is>
          <t>ILIM</t>
        </is>
      </c>
      <c r="G185" t="inlineStr">
        <is>
          <t>ILIM</t>
        </is>
      </c>
      <c r="H185" t="inlineStr">
        <is>
          <t>NO</t>
        </is>
      </c>
      <c r="I185" t="inlineStr">
        <is>
          <t>SADM 081500Z 25012KT CAVOK 10/00 Q1009</t>
        </is>
      </c>
      <c r="J185" t="inlineStr">
        <is>
          <t>s/d</t>
        </is>
      </c>
      <c r="K185" t="inlineStr">
        <is>
          <t>SADM 081500Z 25012KT CAVOK 10/00 Q1009</t>
        </is>
      </c>
      <c r="L185" t="inlineStr">
        <is>
          <t>-</t>
        </is>
      </c>
    </row>
    <row r="186">
      <c r="A186" t="n">
        <v>4624216</v>
      </c>
      <c r="B186" s="126" t="n">
        <v>46242</v>
      </c>
      <c r="C186" t="n">
        <v>16</v>
      </c>
      <c r="D186" t="inlineStr">
        <is>
          <t>16 a 17</t>
        </is>
      </c>
      <c r="E186" t="inlineStr">
        <is>
          <t>VMC</t>
        </is>
      </c>
      <c r="F186" t="inlineStr">
        <is>
          <t>ILIM</t>
        </is>
      </c>
      <c r="G186" t="inlineStr">
        <is>
          <t>ILIM</t>
        </is>
      </c>
      <c r="H186" t="inlineStr">
        <is>
          <t>NO</t>
        </is>
      </c>
      <c r="I186" t="inlineStr">
        <is>
          <t>SADM 081600Z 25012KT CAVOK 11/00 Q1009</t>
        </is>
      </c>
      <c r="J186" t="inlineStr">
        <is>
          <t>s/d</t>
        </is>
      </c>
      <c r="K186" t="inlineStr">
        <is>
          <t>SADM 081600Z 25012KT CAVOK 11/00 Q1009</t>
        </is>
      </c>
      <c r="L186" t="inlineStr">
        <is>
          <t>-</t>
        </is>
      </c>
    </row>
    <row r="187">
      <c r="A187" t="n">
        <v>4624217</v>
      </c>
      <c r="B187" s="126" t="n">
        <v>46242</v>
      </c>
      <c r="C187" t="n">
        <v>17</v>
      </c>
      <c r="D187" t="inlineStr">
        <is>
          <t>17 a 18</t>
        </is>
      </c>
      <c r="E187" t="inlineStr">
        <is>
          <t>VMC</t>
        </is>
      </c>
      <c r="F187" t="inlineStr">
        <is>
          <t>ILIM</t>
        </is>
      </c>
      <c r="G187" t="inlineStr">
        <is>
          <t>ILIM</t>
        </is>
      </c>
      <c r="H187" t="inlineStr">
        <is>
          <t>NO</t>
        </is>
      </c>
      <c r="I187" t="inlineStr">
        <is>
          <t>SADM 081700Z 25012KT CAVOK 11/00 Q1009</t>
        </is>
      </c>
      <c r="J187" t="inlineStr">
        <is>
          <t>s/d</t>
        </is>
      </c>
      <c r="K187" t="inlineStr">
        <is>
          <t>SADM 081700Z 25012KT CAVOK 11/00 Q1009</t>
        </is>
      </c>
      <c r="L187" t="inlineStr">
        <is>
          <t>-</t>
        </is>
      </c>
    </row>
    <row r="188">
      <c r="A188" t="n">
        <v>4624218</v>
      </c>
      <c r="B188" s="126" t="n">
        <v>46242</v>
      </c>
      <c r="C188" t="n">
        <v>18</v>
      </c>
      <c r="D188" t="inlineStr">
        <is>
          <t>18 a 19</t>
        </is>
      </c>
      <c r="E188" t="inlineStr">
        <is>
          <t>VMC</t>
        </is>
      </c>
      <c r="F188" t="inlineStr">
        <is>
          <t>ILIM</t>
        </is>
      </c>
      <c r="G188" t="inlineStr">
        <is>
          <t>ILIM</t>
        </is>
      </c>
      <c r="H188" t="inlineStr">
        <is>
          <t>NO</t>
        </is>
      </c>
      <c r="I188" t="inlineStr">
        <is>
          <t>SADM 081800Z 25015KT CAVOK 12/M02 Q1009</t>
        </is>
      </c>
      <c r="J188" t="inlineStr">
        <is>
          <t>s/d</t>
        </is>
      </c>
      <c r="K188" t="inlineStr">
        <is>
          <t>SADM 081800Z 25015KT CAVOK 12/M02 Q1009</t>
        </is>
      </c>
      <c r="L188" t="inlineStr">
        <is>
          <t>-</t>
        </is>
      </c>
    </row>
    <row r="189">
      <c r="A189" t="n">
        <v>4624219</v>
      </c>
      <c r="B189" s="126" t="n">
        <v>46242</v>
      </c>
      <c r="C189" t="n">
        <v>19</v>
      </c>
      <c r="D189" t="inlineStr">
        <is>
          <t>19 a 20</t>
        </is>
      </c>
      <c r="E189" t="inlineStr">
        <is>
          <t>VMC</t>
        </is>
      </c>
      <c r="F189" t="inlineStr">
        <is>
          <t>ILIM</t>
        </is>
      </c>
      <c r="G189" t="inlineStr">
        <is>
          <t>ILIM</t>
        </is>
      </c>
      <c r="H189" t="inlineStr">
        <is>
          <t>NO</t>
        </is>
      </c>
      <c r="I189" t="inlineStr">
        <is>
          <t>SADM 081900Z 25014KT CAVOK 14/M02 Q1009</t>
        </is>
      </c>
      <c r="J189" t="inlineStr">
        <is>
          <t>s/d</t>
        </is>
      </c>
      <c r="K189" t="inlineStr">
        <is>
          <t>SADM 081900Z 25014KT CAVOK 14/M02 Q1009</t>
        </is>
      </c>
      <c r="L189" t="inlineStr">
        <is>
          <t>-</t>
        </is>
      </c>
    </row>
    <row r="190">
      <c r="A190" t="n">
        <v>4624220</v>
      </c>
      <c r="B190" s="126" t="n">
        <v>46242</v>
      </c>
      <c r="C190" t="n">
        <v>20</v>
      </c>
      <c r="D190" t="inlineStr">
        <is>
          <t>20 a 21</t>
        </is>
      </c>
      <c r="E190" t="inlineStr">
        <is>
          <t>VMC</t>
        </is>
      </c>
      <c r="F190" t="inlineStr">
        <is>
          <t>ILIM</t>
        </is>
      </c>
      <c r="G190" t="inlineStr">
        <is>
          <t>ILIM</t>
        </is>
      </c>
      <c r="H190" t="inlineStr">
        <is>
          <t>NO</t>
        </is>
      </c>
      <c r="I190" t="inlineStr">
        <is>
          <t>SADM 082000Z 25012KT CAVOK 12/M02 Q1010</t>
        </is>
      </c>
      <c r="J190" t="inlineStr">
        <is>
          <t>s/d</t>
        </is>
      </c>
      <c r="K190" t="inlineStr">
        <is>
          <t>SADM 082000Z 25012KT CAVOK 12/M02 Q1010</t>
        </is>
      </c>
      <c r="L190" t="inlineStr">
        <is>
          <t>-</t>
        </is>
      </c>
    </row>
    <row r="191">
      <c r="A191" t="n">
        <v>4624221</v>
      </c>
      <c r="B191" s="126" t="n">
        <v>46242</v>
      </c>
      <c r="C191" t="n">
        <v>21</v>
      </c>
      <c r="D191" t="inlineStr">
        <is>
          <t>21 a 22</t>
        </is>
      </c>
      <c r="E191" t="inlineStr">
        <is>
          <t>VMC</t>
        </is>
      </c>
      <c r="F191" t="inlineStr">
        <is>
          <t>ILIM</t>
        </is>
      </c>
      <c r="G191" t="inlineStr">
        <is>
          <t>ILIM</t>
        </is>
      </c>
      <c r="H191" t="inlineStr">
        <is>
          <t>NO</t>
        </is>
      </c>
      <c r="I191" t="inlineStr">
        <is>
          <t>SADM 082100Z 23013KT CAVOK 11/M04 Q1011</t>
        </is>
      </c>
      <c r="J191" t="inlineStr">
        <is>
          <t>s/d</t>
        </is>
      </c>
      <c r="K191" t="inlineStr">
        <is>
          <t>SADM 082100Z 23013KT CAVOK 11/M04 Q1011</t>
        </is>
      </c>
      <c r="L191" t="inlineStr">
        <is>
          <t>-</t>
        </is>
      </c>
    </row>
    <row r="192">
      <c r="A192" t="n">
        <v>4624222</v>
      </c>
      <c r="B192" s="126" t="n">
        <v>46242</v>
      </c>
      <c r="C192" t="n">
        <v>22</v>
      </c>
      <c r="D192" t="inlineStr">
        <is>
          <t>22 a 23</t>
        </is>
      </c>
      <c r="E192" t="inlineStr">
        <is>
          <t>VMC</t>
        </is>
      </c>
      <c r="F192" t="inlineStr">
        <is>
          <t>ILIM</t>
        </is>
      </c>
      <c r="G192" t="inlineStr">
        <is>
          <t>ILIM</t>
        </is>
      </c>
      <c r="H192" t="inlineStr">
        <is>
          <t>NO</t>
        </is>
      </c>
      <c r="I192" t="inlineStr">
        <is>
          <t>SADM 082200Z 23007KT CAVOK 10/M02 Q1011</t>
        </is>
      </c>
      <c r="J192" t="inlineStr">
        <is>
          <t>s/d</t>
        </is>
      </c>
      <c r="K192" t="inlineStr">
        <is>
          <t>SADM 082200Z 23007KT CAVOK 10/M02 Q1011</t>
        </is>
      </c>
      <c r="L192" t="inlineStr">
        <is>
          <t>-</t>
        </is>
      </c>
    </row>
    <row r="193">
      <c r="A193" t="n">
        <v>4624223</v>
      </c>
      <c r="B193" s="126" t="n">
        <v>46242</v>
      </c>
      <c r="C193" t="n">
        <v>23</v>
      </c>
      <c r="D193" t="inlineStr">
        <is>
          <t>23 a 00</t>
        </is>
      </c>
      <c r="E193" t="inlineStr">
        <is>
          <t>VMC</t>
        </is>
      </c>
      <c r="F193" t="inlineStr">
        <is>
          <t>ILIM</t>
        </is>
      </c>
      <c r="G193" t="inlineStr">
        <is>
          <t>ILIM</t>
        </is>
      </c>
      <c r="H193" t="inlineStr">
        <is>
          <t>NO</t>
        </is>
      </c>
      <c r="I193" t="inlineStr">
        <is>
          <t>SADM 082300Z 27005KT CAVOK 09/M01 Q1013</t>
        </is>
      </c>
      <c r="J193" t="inlineStr">
        <is>
          <t>s/d</t>
        </is>
      </c>
      <c r="K193" t="inlineStr">
        <is>
          <t>SADM 082300Z 27005KT CAVOK 09/M01 Q1013</t>
        </is>
      </c>
      <c r="L193" t="inlineStr">
        <is>
          <t>-</t>
        </is>
      </c>
    </row>
    <row r="194">
      <c r="A194" t="n">
        <v>4624300</v>
      </c>
      <c r="B194" s="126" t="n">
        <v>46243</v>
      </c>
      <c r="C194" t="n">
        <v>0</v>
      </c>
      <c r="D194" t="inlineStr">
        <is>
          <t>00 a 01</t>
        </is>
      </c>
      <c r="E194" t="inlineStr">
        <is>
          <t>VMC</t>
        </is>
      </c>
      <c r="F194" t="inlineStr">
        <is>
          <t>ILIM</t>
        </is>
      </c>
      <c r="G194" t="inlineStr">
        <is>
          <t>ILIM</t>
        </is>
      </c>
      <c r="H194" t="inlineStr">
        <is>
          <t>NO</t>
        </is>
      </c>
      <c r="I194" t="inlineStr">
        <is>
          <t>SADM 090000Z 27005KT CAVOK 08/M00 Q1013</t>
        </is>
      </c>
      <c r="J194" t="inlineStr">
        <is>
          <t>s/d</t>
        </is>
      </c>
      <c r="K194" t="inlineStr">
        <is>
          <t>SADM 090000Z 27005KT CAVOK 08/M00 Q1013</t>
        </is>
      </c>
      <c r="L194" t="inlineStr">
        <is>
          <t>-</t>
        </is>
      </c>
    </row>
    <row r="195">
      <c r="A195" t="n">
        <v>4624301</v>
      </c>
      <c r="B195" s="126" t="n">
        <v>46243</v>
      </c>
      <c r="C195" t="n">
        <v>1</v>
      </c>
      <c r="D195" t="inlineStr">
        <is>
          <t>01 a 02</t>
        </is>
      </c>
      <c r="E195" t="inlineStr">
        <is>
          <t>VMC</t>
        </is>
      </c>
      <c r="F195" t="inlineStr">
        <is>
          <t>ILIM</t>
        </is>
      </c>
      <c r="G195" t="inlineStr">
        <is>
          <t>ILIM</t>
        </is>
      </c>
      <c r="H195" t="inlineStr">
        <is>
          <t>NO</t>
        </is>
      </c>
      <c r="I195" t="inlineStr">
        <is>
          <t>SADM 090100Z 29005KT CAVOK 07/00 Q1014</t>
        </is>
      </c>
      <c r="J195" t="inlineStr">
        <is>
          <t>s/d</t>
        </is>
      </c>
      <c r="K195" t="inlineStr">
        <is>
          <t>SADM 090100Z 29005KT CAVOK 07/00 Q1014</t>
        </is>
      </c>
      <c r="L195" t="inlineStr">
        <is>
          <t>-</t>
        </is>
      </c>
    </row>
    <row r="196">
      <c r="A196" t="n">
        <v>4624302</v>
      </c>
      <c r="B196" s="126" t="n">
        <v>46243</v>
      </c>
      <c r="C196" t="n">
        <v>2</v>
      </c>
      <c r="D196" t="inlineStr">
        <is>
          <t>02 a 03</t>
        </is>
      </c>
      <c r="E196" t="inlineStr">
        <is>
          <t>VMC</t>
        </is>
      </c>
      <c r="F196" t="inlineStr">
        <is>
          <t>ILIM</t>
        </is>
      </c>
      <c r="G196" t="inlineStr">
        <is>
          <t>ILIM</t>
        </is>
      </c>
      <c r="H196" t="inlineStr">
        <is>
          <t>NO</t>
        </is>
      </c>
      <c r="I196" t="inlineStr">
        <is>
          <t>SADM 090200Z 29005KT CAVOK 07/M00 Q1015</t>
        </is>
      </c>
      <c r="J196" t="inlineStr">
        <is>
          <t>s/d</t>
        </is>
      </c>
      <c r="K196" t="inlineStr">
        <is>
          <t>SADM 090200Z 29005KT CAVOK 07/M00 Q1015</t>
        </is>
      </c>
      <c r="L196" t="inlineStr">
        <is>
          <t>-</t>
        </is>
      </c>
    </row>
    <row r="197">
      <c r="A197" t="n">
        <v>4624303</v>
      </c>
      <c r="B197" s="126" t="n">
        <v>46243</v>
      </c>
      <c r="C197" t="n">
        <v>3</v>
      </c>
      <c r="D197" t="inlineStr">
        <is>
          <t>03 a 04</t>
        </is>
      </c>
      <c r="E197" t="inlineStr">
        <is>
          <t>VMC</t>
        </is>
      </c>
      <c r="F197" t="inlineStr">
        <is>
          <t>ILIM</t>
        </is>
      </c>
      <c r="G197" t="inlineStr">
        <is>
          <t>ILIM</t>
        </is>
      </c>
      <c r="H197" t="inlineStr">
        <is>
          <t>NO</t>
        </is>
      </c>
      <c r="I197" t="inlineStr">
        <is>
          <t>SADM 090300Z 29004KT CAVOK 06/M00 Q1015</t>
        </is>
      </c>
      <c r="J197" t="inlineStr">
        <is>
          <t>s/d</t>
        </is>
      </c>
      <c r="K197" t="inlineStr">
        <is>
          <t>SADM 090300Z 29004KT CAVOK 06/M00 Q1015</t>
        </is>
      </c>
      <c r="L197" t="inlineStr">
        <is>
          <t>-</t>
        </is>
      </c>
    </row>
    <row r="198">
      <c r="A198" t="n">
        <v>4624304</v>
      </c>
      <c r="B198" s="126" t="n">
        <v>46243</v>
      </c>
      <c r="C198" t="n">
        <v>4</v>
      </c>
      <c r="D198" t="inlineStr">
        <is>
          <t>04 a 05</t>
        </is>
      </c>
      <c r="E198" t="inlineStr">
        <is>
          <t>VMC</t>
        </is>
      </c>
      <c r="F198" t="inlineStr">
        <is>
          <t>ILIM</t>
        </is>
      </c>
      <c r="G198" t="inlineStr">
        <is>
          <t>ILIM</t>
        </is>
      </c>
      <c r="H198" t="inlineStr">
        <is>
          <t>NO</t>
        </is>
      </c>
      <c r="I198" t="inlineStr">
        <is>
          <t>SADM 090400Z 32006KT CAVOK 06/M00 Q1016</t>
        </is>
      </c>
      <c r="J198" t="inlineStr">
        <is>
          <t>s/d</t>
        </is>
      </c>
      <c r="K198" t="inlineStr">
        <is>
          <t>SADM 090400Z 32006KT CAVOK 06/M00 Q1016</t>
        </is>
      </c>
      <c r="L198" t="inlineStr">
        <is>
          <t>-</t>
        </is>
      </c>
    </row>
    <row r="199">
      <c r="A199" t="n">
        <v>4624305</v>
      </c>
      <c r="B199" s="126" t="n">
        <v>46243</v>
      </c>
      <c r="C199" t="n">
        <v>5</v>
      </c>
      <c r="D199" t="inlineStr">
        <is>
          <t>05 a 06</t>
        </is>
      </c>
      <c r="E199" t="inlineStr">
        <is>
          <t>VMC</t>
        </is>
      </c>
      <c r="F199" t="inlineStr">
        <is>
          <t>ILIM</t>
        </is>
      </c>
      <c r="G199" t="inlineStr">
        <is>
          <t>ILIM</t>
        </is>
      </c>
      <c r="H199" t="inlineStr">
        <is>
          <t>NO</t>
        </is>
      </c>
      <c r="I199" t="inlineStr">
        <is>
          <t>SADM 090500Z 29007KT CAVOK 06/M01 Q1016</t>
        </is>
      </c>
      <c r="J199" t="inlineStr">
        <is>
          <t>s/d</t>
        </is>
      </c>
      <c r="K199" t="inlineStr">
        <is>
          <t>SADM 090500Z 29007KT CAVOK 06/M01 Q1016</t>
        </is>
      </c>
      <c r="L199" t="inlineStr">
        <is>
          <t>-</t>
        </is>
      </c>
    </row>
    <row r="200">
      <c r="A200" t="n">
        <v>4624306</v>
      </c>
      <c r="B200" s="126" t="n">
        <v>46243</v>
      </c>
      <c r="C200" t="n">
        <v>6</v>
      </c>
      <c r="D200" t="inlineStr">
        <is>
          <t>06 a 07</t>
        </is>
      </c>
      <c r="E200" t="inlineStr">
        <is>
          <t>VMC</t>
        </is>
      </c>
      <c r="F200" t="inlineStr">
        <is>
          <t>ILIM</t>
        </is>
      </c>
      <c r="G200" t="inlineStr">
        <is>
          <t>ILIM</t>
        </is>
      </c>
      <c r="H200" t="inlineStr">
        <is>
          <t>NO</t>
        </is>
      </c>
      <c r="I200" t="inlineStr">
        <is>
          <t>SADM 090600Z 29006KT CAVOK 05/M01 Q1016</t>
        </is>
      </c>
      <c r="J200" t="inlineStr">
        <is>
          <t>s/d</t>
        </is>
      </c>
      <c r="K200" t="inlineStr">
        <is>
          <t>SADM 090600Z 29006KT CAVOK 05/M01 Q1016</t>
        </is>
      </c>
      <c r="L200" t="inlineStr">
        <is>
          <t>-</t>
        </is>
      </c>
    </row>
    <row r="201">
      <c r="A201" t="n">
        <v>4624307</v>
      </c>
      <c r="B201" s="126" t="n">
        <v>46243</v>
      </c>
      <c r="C201" t="n">
        <v>7</v>
      </c>
      <c r="D201" t="inlineStr">
        <is>
          <t>07 a 08</t>
        </is>
      </c>
      <c r="E201" t="inlineStr">
        <is>
          <t>VMC</t>
        </is>
      </c>
      <c r="F201" t="inlineStr">
        <is>
          <t>ILIM</t>
        </is>
      </c>
      <c r="G201" t="inlineStr">
        <is>
          <t>ILIM</t>
        </is>
      </c>
      <c r="H201" t="inlineStr">
        <is>
          <t>NO</t>
        </is>
      </c>
      <c r="I201" t="inlineStr">
        <is>
          <t>SADM 090700Z 29006KT CAVOK 05/M01 Q1016</t>
        </is>
      </c>
      <c r="J201" t="inlineStr">
        <is>
          <t>s/d</t>
        </is>
      </c>
      <c r="K201" t="inlineStr">
        <is>
          <t>SADM 090700Z 29006KT CAVOK 05/M01 Q1016</t>
        </is>
      </c>
      <c r="L201" t="inlineStr">
        <is>
          <t>-</t>
        </is>
      </c>
    </row>
    <row r="202">
      <c r="A202" t="n">
        <v>4624308</v>
      </c>
      <c r="B202" s="126" t="n">
        <v>46243</v>
      </c>
      <c r="C202" t="n">
        <v>8</v>
      </c>
      <c r="D202" t="inlineStr">
        <is>
          <t>08 a 09</t>
        </is>
      </c>
      <c r="E202" t="inlineStr">
        <is>
          <t>VMC</t>
        </is>
      </c>
      <c r="F202" t="inlineStr">
        <is>
          <t>ILIM</t>
        </is>
      </c>
      <c r="G202" t="inlineStr">
        <is>
          <t>ILIM</t>
        </is>
      </c>
      <c r="H202" t="inlineStr">
        <is>
          <t>NO</t>
        </is>
      </c>
      <c r="I202" t="inlineStr">
        <is>
          <t>SADM 090800Z 29005KT CAVOK 04/M01 Q1017</t>
        </is>
      </c>
      <c r="J202" t="inlineStr">
        <is>
          <t>s/d</t>
        </is>
      </c>
      <c r="K202" t="inlineStr">
        <is>
          <t>SADM 090800Z 29005KT CAVOK 04/M01 Q1017</t>
        </is>
      </c>
      <c r="L202" t="inlineStr">
        <is>
          <t>-</t>
        </is>
      </c>
    </row>
    <row r="203">
      <c r="A203" t="n">
        <v>4624309</v>
      </c>
      <c r="B203" s="126" t="n">
        <v>46243</v>
      </c>
      <c r="C203" t="n">
        <v>9</v>
      </c>
      <c r="D203" t="inlineStr">
        <is>
          <t>09 a 10</t>
        </is>
      </c>
      <c r="E203" t="inlineStr">
        <is>
          <t>VMC</t>
        </is>
      </c>
      <c r="F203" t="inlineStr">
        <is>
          <t>ILIM</t>
        </is>
      </c>
      <c r="G203" t="inlineStr">
        <is>
          <t>ILIM</t>
        </is>
      </c>
      <c r="H203" t="inlineStr">
        <is>
          <t>NO</t>
        </is>
      </c>
      <c r="I203" t="inlineStr">
        <is>
          <t>SADM 090900Z 27005KT CAVOK 04/M02 Q1017</t>
        </is>
      </c>
      <c r="J203" t="inlineStr">
        <is>
          <t>s/d</t>
        </is>
      </c>
      <c r="K203" t="inlineStr">
        <is>
          <t>SADM 090900Z 27005KT CAVOK 04/M02 Q1017</t>
        </is>
      </c>
      <c r="L203" t="inlineStr">
        <is>
          <t>-</t>
        </is>
      </c>
    </row>
    <row r="204">
      <c r="A204" t="n">
        <v>4624310</v>
      </c>
      <c r="B204" s="126" t="n">
        <v>46243</v>
      </c>
      <c r="C204" t="n">
        <v>10</v>
      </c>
      <c r="D204" t="inlineStr">
        <is>
          <t>10 a 11</t>
        </is>
      </c>
      <c r="E204" t="inlineStr">
        <is>
          <t>VMC</t>
        </is>
      </c>
      <c r="F204" t="inlineStr">
        <is>
          <t>ILIM</t>
        </is>
      </c>
      <c r="G204" t="inlineStr">
        <is>
          <t>ILIM</t>
        </is>
      </c>
      <c r="H204" t="inlineStr">
        <is>
          <t>NO</t>
        </is>
      </c>
      <c r="I204" t="inlineStr">
        <is>
          <t>SADM 091000Z 27005KT CAVOK 04/M02 Q1018</t>
        </is>
      </c>
      <c r="J204" t="inlineStr">
        <is>
          <t>s/d</t>
        </is>
      </c>
      <c r="K204" t="inlineStr">
        <is>
          <t>SADM 091000Z 27005KT CAVOK 04/M02 Q1018</t>
        </is>
      </c>
      <c r="L204" t="inlineStr">
        <is>
          <t>-</t>
        </is>
      </c>
    </row>
    <row r="205">
      <c r="A205" t="n">
        <v>4624311</v>
      </c>
      <c r="B205" s="126" t="n">
        <v>46243</v>
      </c>
      <c r="C205" t="n">
        <v>11</v>
      </c>
      <c r="D205" t="inlineStr">
        <is>
          <t>11 a 12</t>
        </is>
      </c>
      <c r="E205" t="inlineStr">
        <is>
          <t>VMC</t>
        </is>
      </c>
      <c r="F205" t="inlineStr">
        <is>
          <t>ILIM</t>
        </is>
      </c>
      <c r="G205" t="inlineStr">
        <is>
          <t>ILIM</t>
        </is>
      </c>
      <c r="H205" t="inlineStr">
        <is>
          <t>NO</t>
        </is>
      </c>
      <c r="I205" t="inlineStr">
        <is>
          <t>SADM 091100Z 27006KT CAVOK 04/M02 Q1019</t>
        </is>
      </c>
      <c r="J205" t="inlineStr">
        <is>
          <t>s/d</t>
        </is>
      </c>
      <c r="K205" t="inlineStr">
        <is>
          <t>SADM 091100Z 27006KT CAVOK 04/M02 Q1019</t>
        </is>
      </c>
      <c r="L205" t="inlineStr">
        <is>
          <t>-</t>
        </is>
      </c>
    </row>
    <row r="206">
      <c r="A206" t="n">
        <v>4624312</v>
      </c>
      <c r="B206" s="126" t="n">
        <v>46243</v>
      </c>
      <c r="C206" t="n">
        <v>12</v>
      </c>
      <c r="D206" t="inlineStr">
        <is>
          <t>12 a 13</t>
        </is>
      </c>
      <c r="E206" t="inlineStr">
        <is>
          <t>VMC</t>
        </is>
      </c>
      <c r="F206" t="inlineStr">
        <is>
          <t>ILIM</t>
        </is>
      </c>
      <c r="G206" t="inlineStr">
        <is>
          <t>ILIM</t>
        </is>
      </c>
      <c r="H206" t="inlineStr">
        <is>
          <t>NO</t>
        </is>
      </c>
      <c r="I206" t="inlineStr">
        <is>
          <t>SADM 091200Z 24007KT CAVOK 06/M02 Q1020</t>
        </is>
      </c>
      <c r="J206" t="inlineStr">
        <is>
          <t>s/d</t>
        </is>
      </c>
      <c r="K206" t="inlineStr">
        <is>
          <t>SADM 091200Z 24007KT CAVOK 06/M02 Q1020</t>
        </is>
      </c>
      <c r="L206" t="inlineStr">
        <is>
          <t>-</t>
        </is>
      </c>
    </row>
    <row r="207">
      <c r="A207" t="n">
        <v>4624313</v>
      </c>
      <c r="B207" s="126" t="n">
        <v>46243</v>
      </c>
      <c r="C207" t="n">
        <v>13</v>
      </c>
      <c r="D207" t="inlineStr">
        <is>
          <t>13 a 14</t>
        </is>
      </c>
      <c r="E207" t="inlineStr">
        <is>
          <t>VMC</t>
        </is>
      </c>
      <c r="F207" t="inlineStr">
        <is>
          <t>ILIM</t>
        </is>
      </c>
      <c r="G207" t="inlineStr">
        <is>
          <t>ILIM</t>
        </is>
      </c>
      <c r="H207" t="inlineStr">
        <is>
          <t>NO</t>
        </is>
      </c>
      <c r="I207" t="inlineStr">
        <is>
          <t>SADM 091300Z 24008KT CAVOK 08/M02 Q1021</t>
        </is>
      </c>
      <c r="J207" t="inlineStr">
        <is>
          <t>s/d</t>
        </is>
      </c>
      <c r="K207" t="inlineStr">
        <is>
          <t>SADM 091300Z 24008KT CAVOK 08/M02 Q1021</t>
        </is>
      </c>
      <c r="L207" t="inlineStr">
        <is>
          <t>-</t>
        </is>
      </c>
    </row>
    <row r="208">
      <c r="A208" t="n">
        <v>4624314</v>
      </c>
      <c r="B208" s="126" t="n">
        <v>46243</v>
      </c>
      <c r="C208" t="n">
        <v>14</v>
      </c>
      <c r="D208" t="inlineStr">
        <is>
          <t>14 a 15</t>
        </is>
      </c>
      <c r="E208" t="inlineStr">
        <is>
          <t>VMC</t>
        </is>
      </c>
      <c r="F208" t="inlineStr">
        <is>
          <t>ILIM</t>
        </is>
      </c>
      <c r="G208" t="inlineStr">
        <is>
          <t>ILIM</t>
        </is>
      </c>
      <c r="H208" t="inlineStr">
        <is>
          <t>NO</t>
        </is>
      </c>
      <c r="I208" t="inlineStr">
        <is>
          <t>SADM 091400Z 21010KT CAVOK 10/M01 Q1022</t>
        </is>
      </c>
      <c r="J208" t="inlineStr">
        <is>
          <t>s/d</t>
        </is>
      </c>
      <c r="K208" t="inlineStr">
        <is>
          <t>SADM 091400Z 21010KT CAVOK 10/M01 Q1022</t>
        </is>
      </c>
      <c r="L208" t="inlineStr">
        <is>
          <t>-</t>
        </is>
      </c>
    </row>
    <row r="209">
      <c r="A209" t="n">
        <v>4624315</v>
      </c>
      <c r="B209" s="126" t="n">
        <v>46243</v>
      </c>
      <c r="C209" t="n">
        <v>15</v>
      </c>
      <c r="D209" t="inlineStr">
        <is>
          <t>15 a 16</t>
        </is>
      </c>
      <c r="E209" t="inlineStr">
        <is>
          <t>VMC</t>
        </is>
      </c>
      <c r="F209" t="inlineStr">
        <is>
          <t>ILIM</t>
        </is>
      </c>
      <c r="G209" t="inlineStr">
        <is>
          <t>ILIM</t>
        </is>
      </c>
      <c r="H209" t="inlineStr">
        <is>
          <t>NO</t>
        </is>
      </c>
      <c r="I209" t="inlineStr">
        <is>
          <t>SADM 091500Z 23010KT CAVOK 11/00 Q1022</t>
        </is>
      </c>
      <c r="J209" t="inlineStr">
        <is>
          <t>s/d</t>
        </is>
      </c>
      <c r="K209" t="inlineStr">
        <is>
          <t>SADM 091500Z 23010KT CAVOK 11/00 Q1022</t>
        </is>
      </c>
      <c r="L209" t="inlineStr">
        <is>
          <t>-</t>
        </is>
      </c>
    </row>
    <row r="210">
      <c r="A210" t="n">
        <v>4624316</v>
      </c>
      <c r="B210" s="126" t="n">
        <v>46243</v>
      </c>
      <c r="C210" t="n">
        <v>16</v>
      </c>
      <c r="D210" t="inlineStr">
        <is>
          <t>16 a 17</t>
        </is>
      </c>
      <c r="E210" t="inlineStr">
        <is>
          <t>VMC</t>
        </is>
      </c>
      <c r="F210" t="inlineStr">
        <is>
          <t>ILIM</t>
        </is>
      </c>
      <c r="G210" t="inlineStr">
        <is>
          <t>ILIM</t>
        </is>
      </c>
      <c r="H210" t="inlineStr">
        <is>
          <t>NO</t>
        </is>
      </c>
      <c r="I210" t="inlineStr">
        <is>
          <t>SADM 091600Z 25009KT CAVOK 12/01 Q1023</t>
        </is>
      </c>
      <c r="J210" t="inlineStr">
        <is>
          <t>s/d</t>
        </is>
      </c>
      <c r="K210" t="inlineStr">
        <is>
          <t>SADM 091600Z 25009KT CAVOK 12/01 Q1023</t>
        </is>
      </c>
      <c r="L210" t="inlineStr">
        <is>
          <t>-</t>
        </is>
      </c>
    </row>
    <row r="211">
      <c r="A211" t="n">
        <v>4624317</v>
      </c>
      <c r="B211" s="126" t="n">
        <v>46243</v>
      </c>
      <c r="C211" t="n">
        <v>17</v>
      </c>
      <c r="D211" t="inlineStr">
        <is>
          <t>17 a 18</t>
        </is>
      </c>
      <c r="E211" t="inlineStr">
        <is>
          <t>VMC</t>
        </is>
      </c>
      <c r="F211" t="inlineStr">
        <is>
          <t>ILIM</t>
        </is>
      </c>
      <c r="G211" t="inlineStr">
        <is>
          <t>ILIM</t>
        </is>
      </c>
      <c r="H211" t="inlineStr">
        <is>
          <t>NO</t>
        </is>
      </c>
      <c r="I211" t="inlineStr">
        <is>
          <t>SADM 091700Z 23012KT CAVOK 13/M01 Q1022</t>
        </is>
      </c>
      <c r="J211" t="inlineStr">
        <is>
          <t>s/d</t>
        </is>
      </c>
      <c r="K211" t="inlineStr">
        <is>
          <t>SADM 091700Z 23012KT CAVOK 13/M01 Q1022</t>
        </is>
      </c>
      <c r="L211" t="inlineStr">
        <is>
          <t>-</t>
        </is>
      </c>
    </row>
    <row r="212">
      <c r="A212" t="n">
        <v>4624318</v>
      </c>
      <c r="B212" s="126" t="n">
        <v>46243</v>
      </c>
      <c r="C212" t="n">
        <v>18</v>
      </c>
      <c r="D212" t="inlineStr">
        <is>
          <t>18 a 19</t>
        </is>
      </c>
      <c r="E212" t="inlineStr">
        <is>
          <t>VMC</t>
        </is>
      </c>
      <c r="F212" t="inlineStr">
        <is>
          <t>ILIM</t>
        </is>
      </c>
      <c r="G212" t="inlineStr">
        <is>
          <t>ILIM</t>
        </is>
      </c>
      <c r="H212" t="inlineStr">
        <is>
          <t>NO</t>
        </is>
      </c>
      <c r="I212" t="inlineStr">
        <is>
          <t>SADM 091800Z 20015KT 9999 FEW030 13/00 Q1023</t>
        </is>
      </c>
      <c r="J212" t="inlineStr">
        <is>
          <t>s/d</t>
        </is>
      </c>
      <c r="K212" t="inlineStr">
        <is>
          <t>SADM 091800Z 20015KT 9999 FEW030 13/00 Q1023</t>
        </is>
      </c>
      <c r="L212" t="inlineStr">
        <is>
          <t>-</t>
        </is>
      </c>
    </row>
    <row r="213">
      <c r="A213" t="n">
        <v>4624319</v>
      </c>
      <c r="B213" s="126" t="n">
        <v>46243</v>
      </c>
      <c r="C213" t="n">
        <v>19</v>
      </c>
      <c r="D213" t="inlineStr">
        <is>
          <t>19 a 20</t>
        </is>
      </c>
      <c r="E213" t="inlineStr">
        <is>
          <t>VMC</t>
        </is>
      </c>
      <c r="F213" t="inlineStr">
        <is>
          <t>ILIM</t>
        </is>
      </c>
      <c r="G213" t="inlineStr">
        <is>
          <t>ILIM</t>
        </is>
      </c>
      <c r="H213" t="inlineStr">
        <is>
          <t>NO</t>
        </is>
      </c>
      <c r="I213" t="inlineStr">
        <is>
          <t>SADM 091900Z 23012KT 9999 FEW030 13/M02 Q1023</t>
        </is>
      </c>
      <c r="J213" t="inlineStr">
        <is>
          <t>s/d</t>
        </is>
      </c>
      <c r="K213" t="inlineStr">
        <is>
          <t>SADM 091900Z 23012KT 9999 FEW030 13/M02 Q1023</t>
        </is>
      </c>
      <c r="L213" t="inlineStr">
        <is>
          <t>-</t>
        </is>
      </c>
    </row>
    <row r="214">
      <c r="A214" t="n">
        <v>4624320</v>
      </c>
      <c r="B214" s="126" t="n">
        <v>46243</v>
      </c>
      <c r="C214" t="n">
        <v>20</v>
      </c>
      <c r="D214" t="inlineStr">
        <is>
          <t>20 a 21</t>
        </is>
      </c>
      <c r="E214" t="inlineStr">
        <is>
          <t>VMC</t>
        </is>
      </c>
      <c r="F214" t="inlineStr">
        <is>
          <t>ILIM</t>
        </is>
      </c>
      <c r="G214" t="inlineStr">
        <is>
          <t>ILIM</t>
        </is>
      </c>
      <c r="H214" t="inlineStr">
        <is>
          <t>NO</t>
        </is>
      </c>
      <c r="I214" t="inlineStr">
        <is>
          <t>SADM 092000Z 23013KT CAVOK 13/M02 Q1024</t>
        </is>
      </c>
      <c r="J214" t="inlineStr">
        <is>
          <t>s/d</t>
        </is>
      </c>
      <c r="K214" t="inlineStr">
        <is>
          <t>SADM 092000Z 23013KT CAVOK 13/M02 Q1024</t>
        </is>
      </c>
      <c r="L214" t="inlineStr">
        <is>
          <t>-</t>
        </is>
      </c>
    </row>
    <row r="215">
      <c r="A215" t="n">
        <v>4624321</v>
      </c>
      <c r="B215" s="126" t="n">
        <v>46243</v>
      </c>
      <c r="C215" t="n">
        <v>21</v>
      </c>
      <c r="D215" t="inlineStr">
        <is>
          <t>21 a 22</t>
        </is>
      </c>
      <c r="E215" t="inlineStr">
        <is>
          <t>VMC</t>
        </is>
      </c>
      <c r="F215" t="inlineStr">
        <is>
          <t>ILIM</t>
        </is>
      </c>
      <c r="G215" t="inlineStr">
        <is>
          <t>ILIM</t>
        </is>
      </c>
      <c r="H215" t="inlineStr">
        <is>
          <t>NO</t>
        </is>
      </c>
      <c r="I215" t="inlineStr">
        <is>
          <t>SADM 092100Z 20010KT CAVOK 11/M01 Q1025</t>
        </is>
      </c>
      <c r="J215" t="inlineStr">
        <is>
          <t>s/d</t>
        </is>
      </c>
      <c r="K215" t="inlineStr">
        <is>
          <t>SADM 092100Z 20010KT CAVOK 11/M01 Q1025</t>
        </is>
      </c>
      <c r="L215" t="inlineStr">
        <is>
          <t>-</t>
        </is>
      </c>
    </row>
    <row r="216">
      <c r="A216" t="n">
        <v>4624322</v>
      </c>
      <c r="B216" s="126" t="n">
        <v>46243</v>
      </c>
      <c r="C216" t="n">
        <v>22</v>
      </c>
      <c r="D216" t="inlineStr">
        <is>
          <t>22 a 23</t>
        </is>
      </c>
      <c r="E216" t="inlineStr">
        <is>
          <t>VMC</t>
        </is>
      </c>
      <c r="F216" t="inlineStr">
        <is>
          <t>ILIM</t>
        </is>
      </c>
      <c r="G216" t="inlineStr">
        <is>
          <t>ILIM</t>
        </is>
      </c>
      <c r="H216" t="inlineStr">
        <is>
          <t>NO</t>
        </is>
      </c>
      <c r="I216" t="inlineStr">
        <is>
          <t>SADM 092200Z 20007KT CAVOK 08/M02 Q1026</t>
        </is>
      </c>
      <c r="J216" t="inlineStr">
        <is>
          <t>s/d</t>
        </is>
      </c>
      <c r="K216" t="inlineStr">
        <is>
          <t>SADM 092200Z 20007KT CAVOK 08/M02 Q1026</t>
        </is>
      </c>
      <c r="L216" t="inlineStr">
        <is>
          <t>-</t>
        </is>
      </c>
    </row>
    <row r="217">
      <c r="A217" t="n">
        <v>4624323</v>
      </c>
      <c r="B217" s="126" t="n">
        <v>46243</v>
      </c>
      <c r="C217" t="n">
        <v>23</v>
      </c>
      <c r="D217" t="inlineStr">
        <is>
          <t>23 a 00</t>
        </is>
      </c>
      <c r="E217" t="inlineStr">
        <is>
          <t>VMC</t>
        </is>
      </c>
      <c r="F217" t="inlineStr">
        <is>
          <t>ILIM</t>
        </is>
      </c>
      <c r="G217" t="inlineStr">
        <is>
          <t>ILIM</t>
        </is>
      </c>
      <c r="H217" t="inlineStr">
        <is>
          <t>NO</t>
        </is>
      </c>
      <c r="I217" t="inlineStr">
        <is>
          <t>SADM 092300Z 20008KT CAVOK 07/M02 Q1027</t>
        </is>
      </c>
      <c r="J217" t="inlineStr">
        <is>
          <t>s/d</t>
        </is>
      </c>
      <c r="K217" t="inlineStr">
        <is>
          <t>SADM 092300Z 20008KT CAVOK 07/M02 Q1027</t>
        </is>
      </c>
      <c r="L217" t="inlineStr">
        <is>
          <t>-</t>
        </is>
      </c>
    </row>
    <row r="218">
      <c r="A218" t="n">
        <v>4624400</v>
      </c>
      <c r="B218" s="126" t="n">
        <v>46244</v>
      </c>
      <c r="C218" t="n">
        <v>0</v>
      </c>
      <c r="D218" t="inlineStr">
        <is>
          <t>00 a 01</t>
        </is>
      </c>
      <c r="E218" t="inlineStr">
        <is>
          <t>VMC</t>
        </is>
      </c>
      <c r="F218" t="inlineStr">
        <is>
          <t>ILIM</t>
        </is>
      </c>
      <c r="G218" t="inlineStr">
        <is>
          <t>ILIM</t>
        </is>
      </c>
      <c r="H218" t="inlineStr">
        <is>
          <t>NO</t>
        </is>
      </c>
      <c r="I218" t="inlineStr">
        <is>
          <t>SADM 100000Z 18008KT CAVOK 06/M01 Q1028</t>
        </is>
      </c>
      <c r="J218" t="inlineStr">
        <is>
          <t>s/d</t>
        </is>
      </c>
      <c r="K218" t="inlineStr">
        <is>
          <t>SADM 100000Z 18008KT CAVOK 06/M01 Q1028</t>
        </is>
      </c>
      <c r="L218" t="inlineStr">
        <is>
          <t>-</t>
        </is>
      </c>
    </row>
    <row r="219">
      <c r="A219" t="n">
        <v>4624401</v>
      </c>
      <c r="B219" s="126" t="n">
        <v>46244</v>
      </c>
      <c r="C219" t="n">
        <v>1</v>
      </c>
      <c r="D219" t="inlineStr">
        <is>
          <t>01 a 02</t>
        </is>
      </c>
      <c r="E219" t="inlineStr">
        <is>
          <t>VMC</t>
        </is>
      </c>
      <c r="F219" t="inlineStr">
        <is>
          <t>ILIM</t>
        </is>
      </c>
      <c r="G219" t="inlineStr">
        <is>
          <t>ILIM</t>
        </is>
      </c>
      <c r="H219" t="inlineStr">
        <is>
          <t>NO</t>
        </is>
      </c>
      <c r="I219" t="inlineStr">
        <is>
          <t>SADM 100100Z 20009KT CAVOK 05/M01 Q1028</t>
        </is>
      </c>
      <c r="J219" t="inlineStr">
        <is>
          <t>s/d</t>
        </is>
      </c>
      <c r="K219" t="inlineStr">
        <is>
          <t>SADM 100100Z 20009KT CAVOK 05/M01 Q1028</t>
        </is>
      </c>
      <c r="L219" t="inlineStr">
        <is>
          <t>-</t>
        </is>
      </c>
    </row>
    <row r="220">
      <c r="A220" t="n">
        <v>4624402</v>
      </c>
      <c r="B220" s="126" t="n">
        <v>46244</v>
      </c>
      <c r="C220" t="n">
        <v>2</v>
      </c>
      <c r="D220" t="inlineStr">
        <is>
          <t>02 a 03</t>
        </is>
      </c>
      <c r="E220" t="inlineStr">
        <is>
          <t>VMC</t>
        </is>
      </c>
      <c r="F220" t="inlineStr">
        <is>
          <t>ILIM</t>
        </is>
      </c>
      <c r="G220" t="inlineStr">
        <is>
          <t>ILIM</t>
        </is>
      </c>
      <c r="H220" t="inlineStr">
        <is>
          <t>NO</t>
        </is>
      </c>
      <c r="I220" t="inlineStr">
        <is>
          <t>SADM 100200Z 20005KT CAVOK 06/01 Q1029</t>
        </is>
      </c>
      <c r="J220" t="inlineStr">
        <is>
          <t>s/d</t>
        </is>
      </c>
      <c r="K220" t="inlineStr">
        <is>
          <t>SADM 100200Z 20005KT CAVOK 06/01 Q1029</t>
        </is>
      </c>
      <c r="L220" t="inlineStr">
        <is>
          <t>-</t>
        </is>
      </c>
    </row>
    <row r="221">
      <c r="A221" t="n">
        <v>4624403</v>
      </c>
      <c r="B221" s="126" t="n">
        <v>46244</v>
      </c>
      <c r="C221" t="n">
        <v>3</v>
      </c>
      <c r="D221" t="inlineStr">
        <is>
          <t>03 a 04</t>
        </is>
      </c>
      <c r="E221" t="inlineStr">
        <is>
          <t>VMC</t>
        </is>
      </c>
      <c r="F221" t="inlineStr">
        <is>
          <t>ILIM</t>
        </is>
      </c>
      <c r="G221" t="inlineStr">
        <is>
          <t>ILIM</t>
        </is>
      </c>
      <c r="H221" t="inlineStr">
        <is>
          <t>NO</t>
        </is>
      </c>
      <c r="I221" t="inlineStr">
        <is>
          <t>SADM 100300Z 23004KT CAVOK 06/01 Q1032</t>
        </is>
      </c>
      <c r="J221" t="inlineStr">
        <is>
          <t>s/d</t>
        </is>
      </c>
      <c r="K221" t="inlineStr">
        <is>
          <t>SADM 100300Z 23004KT CAVOK 06/01 Q1032</t>
        </is>
      </c>
      <c r="L221" t="inlineStr">
        <is>
          <t>-</t>
        </is>
      </c>
    </row>
    <row r="222">
      <c r="A222" t="n">
        <v>4624404</v>
      </c>
      <c r="B222" s="126" t="n">
        <v>46244</v>
      </c>
      <c r="C222" t="n">
        <v>4</v>
      </c>
      <c r="D222" t="inlineStr">
        <is>
          <t>04 a 05</t>
        </is>
      </c>
      <c r="E222" t="inlineStr">
        <is>
          <t>VMC</t>
        </is>
      </c>
      <c r="F222" t="inlineStr">
        <is>
          <t>ILIM</t>
        </is>
      </c>
      <c r="G222" t="inlineStr">
        <is>
          <t>ILIM</t>
        </is>
      </c>
      <c r="H222" t="inlineStr">
        <is>
          <t>NO</t>
        </is>
      </c>
      <c r="I222" t="inlineStr">
        <is>
          <t>SADM 100400Z 23005KT CAVOK 05/02 Q1032</t>
        </is>
      </c>
      <c r="J222" t="inlineStr">
        <is>
          <t>s/d</t>
        </is>
      </c>
      <c r="K222" t="inlineStr">
        <is>
          <t>SADM 100400Z 23005KT CAVOK 05/02 Q1032</t>
        </is>
      </c>
      <c r="L222" t="inlineStr">
        <is>
          <t>-</t>
        </is>
      </c>
    </row>
    <row r="223">
      <c r="A223" t="n">
        <v>4624405</v>
      </c>
      <c r="B223" s="126" t="n">
        <v>46244</v>
      </c>
      <c r="C223" t="n">
        <v>5</v>
      </c>
      <c r="D223" t="inlineStr">
        <is>
          <t>05 a 06</t>
        </is>
      </c>
      <c r="E223" t="inlineStr">
        <is>
          <t>VMC</t>
        </is>
      </c>
      <c r="F223" t="inlineStr">
        <is>
          <t>ILIM</t>
        </is>
      </c>
      <c r="G223" t="inlineStr">
        <is>
          <t>ILIM</t>
        </is>
      </c>
      <c r="H223" t="inlineStr">
        <is>
          <t>NO</t>
        </is>
      </c>
      <c r="I223" t="inlineStr">
        <is>
          <t>SADM 100500Z 20005KT CAVOK 04/01 Q1033</t>
        </is>
      </c>
      <c r="J223" t="inlineStr">
        <is>
          <t>s/d</t>
        </is>
      </c>
      <c r="K223" t="inlineStr">
        <is>
          <t>SADM 100500Z 20005KT CAVOK 04/01 Q1033</t>
        </is>
      </c>
      <c r="L223" t="inlineStr">
        <is>
          <t>-</t>
        </is>
      </c>
    </row>
    <row r="224">
      <c r="A224" t="n">
        <v>4624406</v>
      </c>
      <c r="B224" s="126" t="n">
        <v>46244</v>
      </c>
      <c r="C224" t="n">
        <v>6</v>
      </c>
      <c r="D224" t="inlineStr">
        <is>
          <t>06 a 07</t>
        </is>
      </c>
      <c r="E224" t="inlineStr">
        <is>
          <t>VMC</t>
        </is>
      </c>
      <c r="F224" t="inlineStr">
        <is>
          <t>ILIM</t>
        </is>
      </c>
      <c r="G224" t="inlineStr">
        <is>
          <t>ILIM</t>
        </is>
      </c>
      <c r="H224" t="inlineStr">
        <is>
          <t>NO</t>
        </is>
      </c>
      <c r="I224" t="inlineStr">
        <is>
          <t>SADM 100600Z 20008KT CAVOK 04/01 Q1033</t>
        </is>
      </c>
      <c r="J224" t="inlineStr">
        <is>
          <t>s/d</t>
        </is>
      </c>
      <c r="K224" t="inlineStr">
        <is>
          <t>SADM 100600Z 20008KT CAVOK 04/01 Q1033</t>
        </is>
      </c>
      <c r="L224" t="inlineStr">
        <is>
          <t>-</t>
        </is>
      </c>
    </row>
    <row r="225">
      <c r="A225" t="n">
        <v>4624407</v>
      </c>
      <c r="B225" s="126" t="n">
        <v>46244</v>
      </c>
      <c r="C225" t="n">
        <v>7</v>
      </c>
      <c r="D225" t="inlineStr">
        <is>
          <t>07 a 08</t>
        </is>
      </c>
      <c r="E225" t="inlineStr">
        <is>
          <t>VMC</t>
        </is>
      </c>
      <c r="F225" t="inlineStr">
        <is>
          <t>ILIM</t>
        </is>
      </c>
      <c r="G225" t="inlineStr">
        <is>
          <t>ILIM</t>
        </is>
      </c>
      <c r="H225" t="inlineStr">
        <is>
          <t>NO</t>
        </is>
      </c>
      <c r="I225" t="inlineStr">
        <is>
          <t>SADM 100700Z 20009KT CAVOK 04/02 Q1033</t>
        </is>
      </c>
      <c r="J225" t="inlineStr">
        <is>
          <t>s/d</t>
        </is>
      </c>
      <c r="K225" t="inlineStr">
        <is>
          <t>SADM 100700Z 20009KT CAVOK 04/02 Q1033</t>
        </is>
      </c>
      <c r="L225" t="inlineStr">
        <is>
          <t>-</t>
        </is>
      </c>
    </row>
    <row r="226">
      <c r="A226" t="n">
        <v>4624408</v>
      </c>
      <c r="B226" s="126" t="n">
        <v>46244</v>
      </c>
      <c r="C226" t="n">
        <v>8</v>
      </c>
      <c r="D226" t="inlineStr">
        <is>
          <t>08 a 09</t>
        </is>
      </c>
      <c r="E226" t="inlineStr">
        <is>
          <t>VMC</t>
        </is>
      </c>
      <c r="F226" t="inlineStr">
        <is>
          <t>ILIM</t>
        </is>
      </c>
      <c r="G226" t="inlineStr">
        <is>
          <t>ILIM</t>
        </is>
      </c>
      <c r="H226" t="inlineStr">
        <is>
          <t>NO</t>
        </is>
      </c>
      <c r="I226" t="inlineStr">
        <is>
          <t>SADM 100800Z 20008KT CAVOK 04/01 Q1033</t>
        </is>
      </c>
      <c r="J226" t="inlineStr">
        <is>
          <t>s/d</t>
        </is>
      </c>
      <c r="K226" t="inlineStr">
        <is>
          <t>SADM 100800Z 20008KT CAVOK 04/01 Q1033</t>
        </is>
      </c>
      <c r="L226" t="inlineStr">
        <is>
          <t>-</t>
        </is>
      </c>
    </row>
    <row r="227">
      <c r="A227" t="n">
        <v>4624409</v>
      </c>
      <c r="B227" s="126" t="n">
        <v>46244</v>
      </c>
      <c r="C227" t="n">
        <v>9</v>
      </c>
      <c r="D227" t="inlineStr">
        <is>
          <t>09 a 10</t>
        </is>
      </c>
      <c r="E227" t="inlineStr">
        <is>
          <t>VMC</t>
        </is>
      </c>
      <c r="F227" t="inlineStr">
        <is>
          <t>ILIM</t>
        </is>
      </c>
      <c r="G227" t="inlineStr">
        <is>
          <t>ILIM</t>
        </is>
      </c>
      <c r="H227" t="inlineStr">
        <is>
          <t>NO</t>
        </is>
      </c>
      <c r="I227" t="inlineStr">
        <is>
          <t>SADM 100900Z 20005KT CAVOK 02/00 Q1033</t>
        </is>
      </c>
      <c r="J227" t="inlineStr">
        <is>
          <t>s/d</t>
        </is>
      </c>
      <c r="K227" t="inlineStr">
        <is>
          <t>SADM 100900Z 20005KT CAVOK 02/00 Q1033</t>
        </is>
      </c>
      <c r="L227" t="inlineStr">
        <is>
          <t>-</t>
        </is>
      </c>
    </row>
    <row r="228">
      <c r="A228" t="n">
        <v>4624410</v>
      </c>
      <c r="B228" s="126" t="n">
        <v>46244</v>
      </c>
      <c r="C228" t="n">
        <v>10</v>
      </c>
      <c r="D228" t="inlineStr">
        <is>
          <t>10 a 11</t>
        </is>
      </c>
      <c r="E228" t="inlineStr">
        <is>
          <t>VMC</t>
        </is>
      </c>
      <c r="F228" t="n">
        <v>5000</v>
      </c>
      <c r="G228" t="inlineStr">
        <is>
          <t>ILIM</t>
        </is>
      </c>
      <c r="H228" t="inlineStr">
        <is>
          <t>SI</t>
        </is>
      </c>
      <c r="I228" t="inlineStr">
        <is>
          <t>SADM 101000Z 20005KT CAVOK 02/M01 Q1034</t>
        </is>
      </c>
      <c r="J228" t="inlineStr">
        <is>
          <t>s/d</t>
        </is>
      </c>
      <c r="K228" t="inlineStr">
        <is>
          <t>SADM 101000Z 20005KT CAVOK 02/M01 Q1034 || SADM 101036Z COR 23002KT 5000 BR NSC 02/M01 Q1034</t>
        </is>
      </c>
      <c r="L228" t="inlineStr">
        <is>
          <t>-</t>
        </is>
      </c>
    </row>
    <row r="229">
      <c r="A229" s="127" t="n">
        <v>4624411</v>
      </c>
      <c r="B229" s="128" t="n">
        <v>46244</v>
      </c>
      <c r="C229" s="127" t="n">
        <v>11</v>
      </c>
      <c r="D229" s="127" t="inlineStr">
        <is>
          <t>11 a 12</t>
        </is>
      </c>
      <c r="E229" s="127" t="inlineStr">
        <is>
          <t>IMC</t>
        </is>
      </c>
      <c r="F229" s="127" t="n">
        <v>3000</v>
      </c>
      <c r="G229" s="127" t="inlineStr">
        <is>
          <t>ILIM</t>
        </is>
      </c>
      <c r="H229" s="127" t="inlineStr">
        <is>
          <t>SI</t>
        </is>
      </c>
      <c r="I229" s="127" t="inlineStr">
        <is>
          <t>SADM 101100Z 18002KT 3000 BR NSC 01/M00 Q1035</t>
        </is>
      </c>
      <c r="J229" s="127" t="inlineStr">
        <is>
          <t>vis 3000 m</t>
        </is>
      </c>
      <c r="K229" s="127" t="inlineStr">
        <is>
          <t>SADM 101100Z 18002KT 3000 BR NSC 01/M00 Q1035 || SADM 101136Z 18005KT 5000 BR NSC 01/M00 Q1035</t>
        </is>
      </c>
      <c r="L229" s="127" t="inlineStr">
        <is>
          <t>-</t>
        </is>
      </c>
    </row>
    <row r="230">
      <c r="A230" t="n">
        <v>4624412</v>
      </c>
      <c r="B230" s="126" t="n">
        <v>46244</v>
      </c>
      <c r="C230" t="n">
        <v>12</v>
      </c>
      <c r="D230" t="inlineStr">
        <is>
          <t>12 a 13</t>
        </is>
      </c>
      <c r="E230" t="inlineStr">
        <is>
          <t>VMC</t>
        </is>
      </c>
      <c r="F230" t="n">
        <v>8000</v>
      </c>
      <c r="G230" t="inlineStr">
        <is>
          <t>ILIM</t>
        </is>
      </c>
      <c r="H230" t="inlineStr">
        <is>
          <t>NO</t>
        </is>
      </c>
      <c r="I230" t="inlineStr">
        <is>
          <t>SADM 101200Z 18004KT 8000 NSC 02/M00 Q1035</t>
        </is>
      </c>
      <c r="J230" t="inlineStr">
        <is>
          <t>s/d</t>
        </is>
      </c>
      <c r="K230" t="inlineStr">
        <is>
          <t>SADM 101200Z 18004KT 8000 NSC 02/M00 Q1035</t>
        </is>
      </c>
      <c r="L230" t="inlineStr">
        <is>
          <t>-</t>
        </is>
      </c>
    </row>
    <row r="231">
      <c r="A231" t="n">
        <v>4624413</v>
      </c>
      <c r="B231" s="126" t="n">
        <v>46244</v>
      </c>
      <c r="C231" t="n">
        <v>13</v>
      </c>
      <c r="D231" t="inlineStr">
        <is>
          <t>13 a 14</t>
        </is>
      </c>
      <c r="E231" t="inlineStr">
        <is>
          <t>VMC</t>
        </is>
      </c>
      <c r="F231" t="inlineStr">
        <is>
          <t>ILIM</t>
        </is>
      </c>
      <c r="G231" t="inlineStr">
        <is>
          <t>ILIM</t>
        </is>
      </c>
      <c r="H231" t="inlineStr">
        <is>
          <t>NO</t>
        </is>
      </c>
      <c r="I231" t="inlineStr">
        <is>
          <t>SADM 101300Z 16005KT CAVOK 05/M00 Q1036</t>
        </is>
      </c>
      <c r="J231" t="inlineStr">
        <is>
          <t>s/d</t>
        </is>
      </c>
      <c r="K231" t="inlineStr">
        <is>
          <t>SADM 101300Z 16005KT CAVOK 05/M00 Q1036</t>
        </is>
      </c>
      <c r="L231" t="inlineStr">
        <is>
          <t>-</t>
        </is>
      </c>
    </row>
    <row r="232">
      <c r="A232" t="n">
        <v>4624414</v>
      </c>
      <c r="B232" s="126" t="n">
        <v>46244</v>
      </c>
      <c r="C232" t="n">
        <v>14</v>
      </c>
      <c r="D232" t="inlineStr">
        <is>
          <t>14 a 15</t>
        </is>
      </c>
      <c r="E232" t="inlineStr">
        <is>
          <t>VMC</t>
        </is>
      </c>
      <c r="F232" t="inlineStr">
        <is>
          <t>ILIM</t>
        </is>
      </c>
      <c r="G232" t="inlineStr">
        <is>
          <t>ILIM</t>
        </is>
      </c>
      <c r="H232" t="inlineStr">
        <is>
          <t>NO</t>
        </is>
      </c>
      <c r="I232" t="inlineStr">
        <is>
          <t>SADM 101400Z 14005KT CAVOK 07/M01 Q1036</t>
        </is>
      </c>
      <c r="J232" t="inlineStr">
        <is>
          <t>s/d</t>
        </is>
      </c>
      <c r="K232" t="inlineStr">
        <is>
          <t>SADM 101400Z 14005KT CAVOK 07/M01 Q1036</t>
        </is>
      </c>
      <c r="L232" t="inlineStr">
        <is>
          <t>-</t>
        </is>
      </c>
    </row>
    <row r="233">
      <c r="A233" t="n">
        <v>4624415</v>
      </c>
      <c r="B233" s="126" t="n">
        <v>46244</v>
      </c>
      <c r="C233" t="n">
        <v>15</v>
      </c>
      <c r="D233" t="inlineStr">
        <is>
          <t>15 a 16</t>
        </is>
      </c>
      <c r="E233" t="inlineStr">
        <is>
          <t>VMC</t>
        </is>
      </c>
      <c r="F233" t="inlineStr">
        <is>
          <t>ILIM</t>
        </is>
      </c>
      <c r="G233" t="inlineStr">
        <is>
          <t>ILIM</t>
        </is>
      </c>
      <c r="H233" t="inlineStr">
        <is>
          <t>NO</t>
        </is>
      </c>
      <c r="I233" t="inlineStr">
        <is>
          <t>SADM 101500Z 14008KT CAVOK 10/M01 Q1036</t>
        </is>
      </c>
      <c r="J233" t="inlineStr">
        <is>
          <t>s/d</t>
        </is>
      </c>
      <c r="K233" t="inlineStr">
        <is>
          <t>SADM 101500Z 14008KT CAVOK 10/M01 Q1036</t>
        </is>
      </c>
      <c r="L233" t="inlineStr">
        <is>
          <t>-</t>
        </is>
      </c>
    </row>
    <row r="234">
      <c r="A234" t="n">
        <v>4624416</v>
      </c>
      <c r="B234" s="126" t="n">
        <v>46244</v>
      </c>
      <c r="C234" t="n">
        <v>16</v>
      </c>
      <c r="D234" t="inlineStr">
        <is>
          <t>16 a 17</t>
        </is>
      </c>
      <c r="E234" t="inlineStr">
        <is>
          <t>VMC</t>
        </is>
      </c>
      <c r="F234" t="inlineStr">
        <is>
          <t>ILIM</t>
        </is>
      </c>
      <c r="G234" t="inlineStr">
        <is>
          <t>ILIM</t>
        </is>
      </c>
      <c r="H234" t="inlineStr">
        <is>
          <t>NO</t>
        </is>
      </c>
      <c r="I234" t="inlineStr">
        <is>
          <t>SADM 101600Z 14007KT CAVOK 11/M00 Q1036</t>
        </is>
      </c>
      <c r="J234" t="inlineStr">
        <is>
          <t>s/d</t>
        </is>
      </c>
      <c r="K234" t="inlineStr">
        <is>
          <t>SADM 101600Z 14007KT CAVOK 11/M00 Q1036</t>
        </is>
      </c>
      <c r="L234" t="inlineStr">
        <is>
          <t>-</t>
        </is>
      </c>
    </row>
    <row r="235">
      <c r="A235" t="n">
        <v>4624417</v>
      </c>
      <c r="B235" s="126" t="n">
        <v>46244</v>
      </c>
      <c r="C235" t="n">
        <v>17</v>
      </c>
      <c r="D235" t="inlineStr">
        <is>
          <t>17 a 18</t>
        </is>
      </c>
      <c r="E235" t="inlineStr">
        <is>
          <t>VMC</t>
        </is>
      </c>
      <c r="F235" t="inlineStr">
        <is>
          <t>ILIM</t>
        </is>
      </c>
      <c r="G235" t="inlineStr">
        <is>
          <t>ILIM</t>
        </is>
      </c>
      <c r="H235" t="inlineStr">
        <is>
          <t>NO</t>
        </is>
      </c>
      <c r="I235" t="inlineStr">
        <is>
          <t>SADM 101700Z 16006KT CAVOK 11/M00 Q1035</t>
        </is>
      </c>
      <c r="J235" t="inlineStr">
        <is>
          <t>s/d</t>
        </is>
      </c>
      <c r="K235" t="inlineStr">
        <is>
          <t>SADM 101700Z 16006KT CAVOK 11/M00 Q1035</t>
        </is>
      </c>
      <c r="L235" t="inlineStr">
        <is>
          <t>-</t>
        </is>
      </c>
    </row>
    <row r="236">
      <c r="A236" t="n">
        <v>4624418</v>
      </c>
      <c r="B236" s="126" t="n">
        <v>46244</v>
      </c>
      <c r="C236" t="n">
        <v>18</v>
      </c>
      <c r="D236" t="inlineStr">
        <is>
          <t>18 a 19</t>
        </is>
      </c>
      <c r="E236" t="inlineStr">
        <is>
          <t>VMC</t>
        </is>
      </c>
      <c r="F236" t="inlineStr">
        <is>
          <t>ILIM</t>
        </is>
      </c>
      <c r="G236" t="inlineStr">
        <is>
          <t>ILIM</t>
        </is>
      </c>
      <c r="H236" t="inlineStr">
        <is>
          <t>NO</t>
        </is>
      </c>
      <c r="I236" t="inlineStr">
        <is>
          <t>SADM 101800Z 16005KT CAVOK 12/M00 Q1034</t>
        </is>
      </c>
      <c r="J236" t="inlineStr">
        <is>
          <t>s/d</t>
        </is>
      </c>
      <c r="K236" t="inlineStr">
        <is>
          <t>SADM 101800Z 16005KT CAVOK 12/M00 Q1034</t>
        </is>
      </c>
      <c r="L236" t="inlineStr">
        <is>
          <t>-</t>
        </is>
      </c>
    </row>
    <row r="237">
      <c r="A237" t="n">
        <v>4624419</v>
      </c>
      <c r="B237" s="126" t="n">
        <v>46244</v>
      </c>
      <c r="C237" t="n">
        <v>19</v>
      </c>
      <c r="D237" t="inlineStr">
        <is>
          <t>19 a 20</t>
        </is>
      </c>
      <c r="E237" t="inlineStr">
        <is>
          <t>VMC</t>
        </is>
      </c>
      <c r="F237" t="inlineStr">
        <is>
          <t>ILIM</t>
        </is>
      </c>
      <c r="G237" t="inlineStr">
        <is>
          <t>ILIM</t>
        </is>
      </c>
      <c r="H237" t="inlineStr">
        <is>
          <t>NO</t>
        </is>
      </c>
      <c r="I237" t="inlineStr">
        <is>
          <t>SADM 101900Z 16005KT CAVOK 12/M01 Q1034</t>
        </is>
      </c>
      <c r="J237" t="inlineStr">
        <is>
          <t>s/d</t>
        </is>
      </c>
      <c r="K237" t="inlineStr">
        <is>
          <t>SADM 101900Z 16005KT CAVOK 12/M01 Q1034</t>
        </is>
      </c>
      <c r="L237" t="inlineStr">
        <is>
          <t>-</t>
        </is>
      </c>
    </row>
    <row r="238">
      <c r="A238" t="n">
        <v>4624420</v>
      </c>
      <c r="B238" s="126" t="n">
        <v>46244</v>
      </c>
      <c r="C238" t="n">
        <v>20</v>
      </c>
      <c r="D238" t="inlineStr">
        <is>
          <t>20 a 21</t>
        </is>
      </c>
      <c r="E238" t="inlineStr">
        <is>
          <t>VMC</t>
        </is>
      </c>
      <c r="F238" t="inlineStr">
        <is>
          <t>ILIM</t>
        </is>
      </c>
      <c r="G238" t="inlineStr">
        <is>
          <t>ILIM</t>
        </is>
      </c>
      <c r="H238" t="inlineStr">
        <is>
          <t>NO</t>
        </is>
      </c>
      <c r="I238" t="inlineStr">
        <is>
          <t>SADM 102000Z 14006KT CAVOK 12/M01 Q1033</t>
        </is>
      </c>
      <c r="J238" t="inlineStr">
        <is>
          <t>s/d</t>
        </is>
      </c>
      <c r="K238" t="inlineStr">
        <is>
          <t>SADM 102000Z 14006KT CAVOK 12/M01 Q1033</t>
        </is>
      </c>
      <c r="L238" t="inlineStr">
        <is>
          <t>-</t>
        </is>
      </c>
    </row>
    <row r="239">
      <c r="A239" t="n">
        <v>4624421</v>
      </c>
      <c r="B239" s="126" t="n">
        <v>46244</v>
      </c>
      <c r="C239" t="n">
        <v>21</v>
      </c>
      <c r="D239" t="inlineStr">
        <is>
          <t>21 a 22</t>
        </is>
      </c>
      <c r="E239" t="inlineStr">
        <is>
          <t>VMC</t>
        </is>
      </c>
      <c r="F239" t="inlineStr">
        <is>
          <t>ILIM</t>
        </is>
      </c>
      <c r="G239" t="inlineStr">
        <is>
          <t>ILIM</t>
        </is>
      </c>
      <c r="H239" t="inlineStr">
        <is>
          <t>NO</t>
        </is>
      </c>
      <c r="I239" t="inlineStr">
        <is>
          <t>SADM 102100Z 14006KT CAVOK 11/M01 Q1034</t>
        </is>
      </c>
      <c r="J239" t="inlineStr">
        <is>
          <t>s/d</t>
        </is>
      </c>
      <c r="K239" t="inlineStr">
        <is>
          <t>SADM 102100Z 14006KT CAVOK 11/M01 Q1034</t>
        </is>
      </c>
      <c r="L239" t="inlineStr">
        <is>
          <t>-</t>
        </is>
      </c>
    </row>
    <row r="240">
      <c r="A240" t="n">
        <v>4624422</v>
      </c>
      <c r="B240" s="126" t="n">
        <v>46244</v>
      </c>
      <c r="C240" t="n">
        <v>22</v>
      </c>
      <c r="D240" t="inlineStr">
        <is>
          <t>22 a 23</t>
        </is>
      </c>
      <c r="E240" t="inlineStr">
        <is>
          <t>VMC</t>
        </is>
      </c>
      <c r="F240" t="inlineStr">
        <is>
          <t>ILIM</t>
        </is>
      </c>
      <c r="G240" t="inlineStr">
        <is>
          <t>ILIM</t>
        </is>
      </c>
      <c r="H240" t="inlineStr">
        <is>
          <t>NO</t>
        </is>
      </c>
      <c r="I240" t="inlineStr">
        <is>
          <t>SADM 102200Z 09004KT CAVOK 10/01 Q1034</t>
        </is>
      </c>
      <c r="J240" t="inlineStr">
        <is>
          <t>s/d</t>
        </is>
      </c>
      <c r="K240" t="inlineStr">
        <is>
          <t>SADM 102200Z 09004KT CAVOK 10/01 Q1034</t>
        </is>
      </c>
      <c r="L240" t="inlineStr">
        <is>
          <t>-</t>
        </is>
      </c>
    </row>
    <row r="241">
      <c r="A241" t="n">
        <v>4624423</v>
      </c>
      <c r="B241" s="126" t="n">
        <v>46244</v>
      </c>
      <c r="C241" t="n">
        <v>23</v>
      </c>
      <c r="D241" t="inlineStr">
        <is>
          <t>23 a 00</t>
        </is>
      </c>
      <c r="E241" t="inlineStr">
        <is>
          <t>VMC</t>
        </is>
      </c>
      <c r="F241" t="inlineStr">
        <is>
          <t>ILIM</t>
        </is>
      </c>
      <c r="G241" t="inlineStr">
        <is>
          <t>ILIM</t>
        </is>
      </c>
      <c r="H241" t="inlineStr">
        <is>
          <t>NO</t>
        </is>
      </c>
      <c r="I241" t="inlineStr">
        <is>
          <t>SADM 102300Z 09004KT CAVOK 10/02 Q1034</t>
        </is>
      </c>
      <c r="J241" t="inlineStr">
        <is>
          <t>s/d</t>
        </is>
      </c>
      <c r="K241" t="inlineStr">
        <is>
          <t>SADM 102300Z 09004KT CAVOK 10/02 Q1034</t>
        </is>
      </c>
      <c r="L241" t="inlineStr">
        <is>
          <t>-</t>
        </is>
      </c>
    </row>
    <row r="242">
      <c r="A242" t="n">
        <v>4624500</v>
      </c>
      <c r="B242" s="126" t="n">
        <v>46245</v>
      </c>
      <c r="C242" t="n">
        <v>0</v>
      </c>
      <c r="D242" t="inlineStr">
        <is>
          <t>00 a 01</t>
        </is>
      </c>
      <c r="E242" t="inlineStr">
        <is>
          <t>VMC</t>
        </is>
      </c>
      <c r="F242" t="inlineStr">
        <is>
          <t>ILIM</t>
        </is>
      </c>
      <c r="G242" t="inlineStr">
        <is>
          <t>ILIM</t>
        </is>
      </c>
      <c r="H242" t="inlineStr">
        <is>
          <t>NO</t>
        </is>
      </c>
      <c r="I242" t="inlineStr">
        <is>
          <t>SADM 110000Z 09002KT CAVOK 09/04 Q1034</t>
        </is>
      </c>
      <c r="J242" t="inlineStr">
        <is>
          <t>s/d</t>
        </is>
      </c>
      <c r="K242" t="inlineStr">
        <is>
          <t>SADM 110000Z 09002KT CAVOK 09/04 Q1034</t>
        </is>
      </c>
      <c r="L242" t="inlineStr">
        <is>
          <t>-</t>
        </is>
      </c>
    </row>
    <row r="243">
      <c r="A243" t="n">
        <v>4624501</v>
      </c>
      <c r="B243" s="126" t="n">
        <v>46245</v>
      </c>
      <c r="C243" t="n">
        <v>1</v>
      </c>
      <c r="D243" t="inlineStr">
        <is>
          <t>01 a 02</t>
        </is>
      </c>
      <c r="E243" t="inlineStr">
        <is>
          <t>VMC</t>
        </is>
      </c>
      <c r="F243" t="inlineStr">
        <is>
          <t>ILIM</t>
        </is>
      </c>
      <c r="G243" t="inlineStr">
        <is>
          <t>ILIM</t>
        </is>
      </c>
      <c r="H243" t="inlineStr">
        <is>
          <t>NO</t>
        </is>
      </c>
      <c r="I243" t="inlineStr">
        <is>
          <t>SADM 110100Z 14001KT CAVOK 08/04 Q1034</t>
        </is>
      </c>
      <c r="J243" t="inlineStr">
        <is>
          <t>s/d</t>
        </is>
      </c>
      <c r="K243" t="inlineStr">
        <is>
          <t>SADM 110100Z 14001KT CAVOK 08/04 Q1034</t>
        </is>
      </c>
      <c r="L243" t="inlineStr">
        <is>
          <t>-</t>
        </is>
      </c>
    </row>
    <row r="244">
      <c r="A244" t="n">
        <v>4624502</v>
      </c>
      <c r="B244" s="126" t="n">
        <v>46245</v>
      </c>
      <c r="C244" t="n">
        <v>2</v>
      </c>
      <c r="D244" t="inlineStr">
        <is>
          <t>02 a 03</t>
        </is>
      </c>
      <c r="E244" t="inlineStr">
        <is>
          <t>VMC</t>
        </is>
      </c>
      <c r="F244" t="inlineStr">
        <is>
          <t>ILIM</t>
        </is>
      </c>
      <c r="G244" t="inlineStr">
        <is>
          <t>ILIM</t>
        </is>
      </c>
      <c r="H244" t="inlineStr">
        <is>
          <t>NO</t>
        </is>
      </c>
      <c r="I244" t="inlineStr">
        <is>
          <t>SADM 110200Z 14002KT CAVOK 08/05 Q1035</t>
        </is>
      </c>
      <c r="J244" t="inlineStr">
        <is>
          <t>s/d</t>
        </is>
      </c>
      <c r="K244" t="inlineStr">
        <is>
          <t>SADM 110200Z 14002KT CAVOK 08/05 Q1035</t>
        </is>
      </c>
      <c r="L244" t="inlineStr">
        <is>
          <t>-</t>
        </is>
      </c>
    </row>
    <row r="245">
      <c r="A245" t="n">
        <v>4624503</v>
      </c>
      <c r="B245" s="126" t="n">
        <v>46245</v>
      </c>
      <c r="C245" t="n">
        <v>3</v>
      </c>
      <c r="D245" t="inlineStr">
        <is>
          <t>03 a 04</t>
        </is>
      </c>
      <c r="E245" t="inlineStr">
        <is>
          <t>VMC</t>
        </is>
      </c>
      <c r="F245" t="inlineStr">
        <is>
          <t>ILIM</t>
        </is>
      </c>
      <c r="G245" t="inlineStr">
        <is>
          <t>ILIM</t>
        </is>
      </c>
      <c r="H245" t="inlineStr">
        <is>
          <t>NO</t>
        </is>
      </c>
      <c r="I245" t="inlineStr">
        <is>
          <t>SADM 110300Z 14003KT CAVOK 08/05 Q1034</t>
        </is>
      </c>
      <c r="J245" t="inlineStr">
        <is>
          <t>s/d</t>
        </is>
      </c>
      <c r="K245" t="inlineStr">
        <is>
          <t>SADM 110300Z 14003KT CAVOK 08/05 Q1034</t>
        </is>
      </c>
      <c r="L245" t="inlineStr">
        <is>
          <t>-</t>
        </is>
      </c>
    </row>
    <row r="246">
      <c r="A246" t="n">
        <v>4624504</v>
      </c>
      <c r="B246" s="126" t="n">
        <v>46245</v>
      </c>
      <c r="C246" t="n">
        <v>4</v>
      </c>
      <c r="D246" t="inlineStr">
        <is>
          <t>04 a 05</t>
        </is>
      </c>
      <c r="E246" t="inlineStr">
        <is>
          <t>VMC</t>
        </is>
      </c>
      <c r="F246" t="inlineStr">
        <is>
          <t>ILIM</t>
        </is>
      </c>
      <c r="G246" t="inlineStr">
        <is>
          <t>ILIM</t>
        </is>
      </c>
      <c r="H246" t="inlineStr">
        <is>
          <t>NO</t>
        </is>
      </c>
      <c r="I246" t="inlineStr">
        <is>
          <t>SADM 110400Z 14003KT CAVOK 07/04 Q1035</t>
        </is>
      </c>
      <c r="J246" t="inlineStr">
        <is>
          <t>s/d</t>
        </is>
      </c>
      <c r="K246" t="inlineStr">
        <is>
          <t>SADM 110400Z 14003KT CAVOK 07/04 Q1035</t>
        </is>
      </c>
      <c r="L246" t="inlineStr">
        <is>
          <t>-</t>
        </is>
      </c>
    </row>
    <row r="247">
      <c r="A247" t="n">
        <v>4624505</v>
      </c>
      <c r="B247" s="126" t="n">
        <v>46245</v>
      </c>
      <c r="C247" t="n">
        <v>5</v>
      </c>
      <c r="D247" t="inlineStr">
        <is>
          <t>05 a 06</t>
        </is>
      </c>
      <c r="E247" t="inlineStr">
        <is>
          <t>VMC</t>
        </is>
      </c>
      <c r="F247" t="inlineStr">
        <is>
          <t>ILIM</t>
        </is>
      </c>
      <c r="G247" t="inlineStr">
        <is>
          <t>ILIM</t>
        </is>
      </c>
      <c r="H247" t="inlineStr">
        <is>
          <t>NO</t>
        </is>
      </c>
      <c r="I247" t="inlineStr">
        <is>
          <t>SADM 110500Z 14004KT CAVOK 07/03 Q1034</t>
        </is>
      </c>
      <c r="J247" t="inlineStr">
        <is>
          <t>s/d</t>
        </is>
      </c>
      <c r="K247" t="inlineStr">
        <is>
          <t>SADM 110500Z 14004KT CAVOK 07/03 Q1034</t>
        </is>
      </c>
      <c r="L247" t="inlineStr">
        <is>
          <t>-</t>
        </is>
      </c>
    </row>
    <row r="248">
      <c r="A248" t="n">
        <v>4624506</v>
      </c>
      <c r="B248" s="126" t="n">
        <v>46245</v>
      </c>
      <c r="C248" t="n">
        <v>6</v>
      </c>
      <c r="D248" t="inlineStr">
        <is>
          <t>06 a 07</t>
        </is>
      </c>
      <c r="E248" t="inlineStr">
        <is>
          <t>VMC</t>
        </is>
      </c>
      <c r="F248" t="inlineStr">
        <is>
          <t>ILIM</t>
        </is>
      </c>
      <c r="G248" t="inlineStr">
        <is>
          <t>ILIM</t>
        </is>
      </c>
      <c r="H248" t="inlineStr">
        <is>
          <t>NO</t>
        </is>
      </c>
      <c r="I248" t="inlineStr">
        <is>
          <t>SADM 110600Z 09002KT 9999 FEW030 SCT200 07/03 Q1034</t>
        </is>
      </c>
      <c r="J248" t="inlineStr">
        <is>
          <t>s/d</t>
        </is>
      </c>
      <c r="K248" t="inlineStr">
        <is>
          <t>SADM 110600Z 09002KT 9999 FEW030 SCT200 07/03 Q1034</t>
        </is>
      </c>
      <c r="L248" t="inlineStr">
        <is>
          <t>-</t>
        </is>
      </c>
    </row>
    <row r="249">
      <c r="A249" s="129" t="n">
        <v>4624507</v>
      </c>
      <c r="B249" s="130" t="n">
        <v>46245</v>
      </c>
      <c r="C249" s="129" t="n">
        <v>7</v>
      </c>
      <c r="D249" s="129" t="inlineStr">
        <is>
          <t>07 a 08</t>
        </is>
      </c>
      <c r="E249" s="129" t="inlineStr">
        <is>
          <t>SIN DATO</t>
        </is>
      </c>
      <c r="F249" s="129" t="inlineStr">
        <is>
          <t>s/d</t>
        </is>
      </c>
      <c r="G249" s="129" t="inlineStr">
        <is>
          <t>s/d</t>
        </is>
      </c>
      <c r="H249" s="129" t="inlineStr">
        <is>
          <t>NO</t>
        </is>
      </c>
      <c r="I249" s="129" t="inlineStr">
        <is>
          <t>s/d</t>
        </is>
      </c>
      <c r="J249" s="129" t="inlineStr">
        <is>
          <t>s/d</t>
        </is>
      </c>
      <c r="K249" s="129" t="inlineStr">
        <is>
          <t>s/d</t>
        </is>
      </c>
      <c r="L249" s="129" t="inlineStr">
        <is>
          <t>-</t>
        </is>
      </c>
    </row>
    <row r="250">
      <c r="A250" t="n">
        <v>4624508</v>
      </c>
      <c r="B250" s="126" t="n">
        <v>46245</v>
      </c>
      <c r="C250" t="n">
        <v>8</v>
      </c>
      <c r="D250" t="inlineStr">
        <is>
          <t>08 a 09</t>
        </is>
      </c>
      <c r="E250" t="inlineStr">
        <is>
          <t>VMC</t>
        </is>
      </c>
      <c r="F250" t="inlineStr">
        <is>
          <t>ILIM</t>
        </is>
      </c>
      <c r="G250" t="n">
        <v>20000</v>
      </c>
      <c r="H250" t="inlineStr">
        <is>
          <t>NO</t>
        </is>
      </c>
      <c r="I250" t="inlineStr">
        <is>
          <t>SADM 110800Z 14002KT 9999 SCT030 BKN200 06/03 Q1033</t>
        </is>
      </c>
      <c r="J250" t="inlineStr">
        <is>
          <t>s/d</t>
        </is>
      </c>
      <c r="K250" t="inlineStr">
        <is>
          <t>SADM 110800Z 14002KT 9999 SCT030 BKN200 06/03 Q1033</t>
        </is>
      </c>
      <c r="L250" t="inlineStr">
        <is>
          <t>-</t>
        </is>
      </c>
    </row>
    <row r="251">
      <c r="A251" t="n">
        <v>4624509</v>
      </c>
      <c r="B251" s="126" t="n">
        <v>46245</v>
      </c>
      <c r="C251" t="n">
        <v>9</v>
      </c>
      <c r="D251" t="inlineStr">
        <is>
          <t>09 a 10</t>
        </is>
      </c>
      <c r="E251" t="inlineStr">
        <is>
          <t>VMC</t>
        </is>
      </c>
      <c r="F251" t="inlineStr">
        <is>
          <t>ILIM</t>
        </is>
      </c>
      <c r="G251" t="n">
        <v>3000</v>
      </c>
      <c r="H251" t="inlineStr">
        <is>
          <t>NO</t>
        </is>
      </c>
      <c r="I251" t="inlineStr">
        <is>
          <t>SADM 110900Z 14002KT 9999 BKN030 06/04 Q1033</t>
        </is>
      </c>
      <c r="J251" t="inlineStr">
        <is>
          <t>s/d</t>
        </is>
      </c>
      <c r="K251" t="inlineStr">
        <is>
          <t>SADM 110900Z 14002KT 9999 BKN030 06/04 Q1033</t>
        </is>
      </c>
      <c r="L251" t="inlineStr">
        <is>
          <t>-</t>
        </is>
      </c>
    </row>
    <row r="252">
      <c r="A252" t="n">
        <v>4624510</v>
      </c>
      <c r="B252" s="126" t="n">
        <v>46245</v>
      </c>
      <c r="C252" t="n">
        <v>10</v>
      </c>
      <c r="D252" t="inlineStr">
        <is>
          <t>10 a 11</t>
        </is>
      </c>
      <c r="E252" t="inlineStr">
        <is>
          <t>VMC</t>
        </is>
      </c>
      <c r="F252" t="inlineStr">
        <is>
          <t>ILIM</t>
        </is>
      </c>
      <c r="G252" t="n">
        <v>3000</v>
      </c>
      <c r="H252" t="inlineStr">
        <is>
          <t>NO</t>
        </is>
      </c>
      <c r="I252" t="inlineStr">
        <is>
          <t>SADM 111000Z 14004KT 9999 BKN030 06/04 Q1033</t>
        </is>
      </c>
      <c r="J252" t="inlineStr">
        <is>
          <t>s/d</t>
        </is>
      </c>
      <c r="K252" t="inlineStr">
        <is>
          <t>SADM 111000Z 14004KT 9999 BKN030 06/04 Q1033</t>
        </is>
      </c>
      <c r="L252" t="inlineStr">
        <is>
          <t>-</t>
        </is>
      </c>
    </row>
    <row r="253">
      <c r="A253" t="n">
        <v>4624511</v>
      </c>
      <c r="B253" s="126" t="n">
        <v>46245</v>
      </c>
      <c r="C253" t="n">
        <v>11</v>
      </c>
      <c r="D253" t="inlineStr">
        <is>
          <t>11 a 12</t>
        </is>
      </c>
      <c r="E253" t="inlineStr">
        <is>
          <t>VMC</t>
        </is>
      </c>
      <c r="F253" t="n">
        <v>9000</v>
      </c>
      <c r="G253" t="n">
        <v>3000</v>
      </c>
      <c r="H253" t="inlineStr">
        <is>
          <t>NO</t>
        </is>
      </c>
      <c r="I253" t="inlineStr">
        <is>
          <t>SADM 111100Z 11003KT 9000 BKN030 BKN200 07/02 Q1033</t>
        </is>
      </c>
      <c r="J253" t="inlineStr">
        <is>
          <t>s/d</t>
        </is>
      </c>
      <c r="K253" t="inlineStr">
        <is>
          <t>SADM 111100Z 11003KT 9000 BKN030 BKN200 07/02 Q1033</t>
        </is>
      </c>
      <c r="L253" t="inlineStr">
        <is>
          <t>-</t>
        </is>
      </c>
    </row>
    <row r="254">
      <c r="A254" t="n">
        <v>4624512</v>
      </c>
      <c r="B254" s="126" t="n">
        <v>46245</v>
      </c>
      <c r="C254" t="n">
        <v>12</v>
      </c>
      <c r="D254" t="inlineStr">
        <is>
          <t>12 a 13</t>
        </is>
      </c>
      <c r="E254" t="inlineStr">
        <is>
          <t>VMC</t>
        </is>
      </c>
      <c r="F254" t="n">
        <v>9000</v>
      </c>
      <c r="G254" t="n">
        <v>3200</v>
      </c>
      <c r="H254" t="inlineStr">
        <is>
          <t>NO</t>
        </is>
      </c>
      <c r="I254" t="inlineStr">
        <is>
          <t>SADM 111200Z 11004KT 9000 BKN032 BKN200 07/02 Q1033</t>
        </is>
      </c>
      <c r="J254" t="inlineStr">
        <is>
          <t>s/d</t>
        </is>
      </c>
      <c r="K254" t="inlineStr">
        <is>
          <t>SADM 111200Z 11004KT 9000 BKN032 BKN200 07/02 Q1033</t>
        </is>
      </c>
      <c r="L254" t="inlineStr">
        <is>
          <t>-</t>
        </is>
      </c>
    </row>
    <row r="255">
      <c r="A255" t="n">
        <v>4624513</v>
      </c>
      <c r="B255" s="126" t="n">
        <v>46245</v>
      </c>
      <c r="C255" t="n">
        <v>13</v>
      </c>
      <c r="D255" t="inlineStr">
        <is>
          <t>13 a 14</t>
        </is>
      </c>
      <c r="E255" t="inlineStr">
        <is>
          <t>VMC</t>
        </is>
      </c>
      <c r="F255" t="n">
        <v>6000</v>
      </c>
      <c r="G255" t="n">
        <v>2900</v>
      </c>
      <c r="H255" t="inlineStr">
        <is>
          <t>NO</t>
        </is>
      </c>
      <c r="I255" t="inlineStr">
        <is>
          <t>SADM 111300Z 13006KT 6000 BKN029 BKN200 08/02 Q1033</t>
        </is>
      </c>
      <c r="J255" t="inlineStr">
        <is>
          <t>s/d</t>
        </is>
      </c>
      <c r="K255" t="inlineStr">
        <is>
          <t>SADM 111300Z 13006KT 6000 BKN029 BKN200 08/02 Q1033</t>
        </is>
      </c>
      <c r="L255" t="inlineStr">
        <is>
          <t>-</t>
        </is>
      </c>
    </row>
    <row r="256">
      <c r="A256" t="n">
        <v>4624514</v>
      </c>
      <c r="B256" s="126" t="n">
        <v>46245</v>
      </c>
      <c r="C256" t="n">
        <v>14</v>
      </c>
      <c r="D256" t="inlineStr">
        <is>
          <t>14 a 15</t>
        </is>
      </c>
      <c r="E256" t="inlineStr">
        <is>
          <t>VMC</t>
        </is>
      </c>
      <c r="F256" t="n">
        <v>6000</v>
      </c>
      <c r="G256" t="n">
        <v>2900</v>
      </c>
      <c r="H256" t="inlineStr">
        <is>
          <t>NO</t>
        </is>
      </c>
      <c r="I256" t="inlineStr">
        <is>
          <t>SADM 111400Z 10006KT 6000 OVC029 09/03 Q1033</t>
        </is>
      </c>
      <c r="J256" t="inlineStr">
        <is>
          <t>s/d</t>
        </is>
      </c>
      <c r="K256" t="inlineStr">
        <is>
          <t>SADM 111400Z 10006KT 6000 OVC029 09/03 Q1033</t>
        </is>
      </c>
      <c r="L256" t="inlineStr">
        <is>
          <t>-</t>
        </is>
      </c>
    </row>
    <row r="257">
      <c r="A257" t="n">
        <v>4624515</v>
      </c>
      <c r="B257" s="126" t="n">
        <v>46245</v>
      </c>
      <c r="C257" t="n">
        <v>15</v>
      </c>
      <c r="D257" t="inlineStr">
        <is>
          <t>15 a 16</t>
        </is>
      </c>
      <c r="E257" t="inlineStr">
        <is>
          <t>VMC</t>
        </is>
      </c>
      <c r="F257" t="n">
        <v>9000</v>
      </c>
      <c r="G257" t="n">
        <v>2600</v>
      </c>
      <c r="H257" t="inlineStr">
        <is>
          <t>NO</t>
        </is>
      </c>
      <c r="I257" t="inlineStr">
        <is>
          <t>SADM 111500Z 09007KT 9000 OVC026 10/03 Q1032</t>
        </is>
      </c>
      <c r="J257" t="inlineStr">
        <is>
          <t>s/d</t>
        </is>
      </c>
      <c r="K257" t="inlineStr">
        <is>
          <t>SADM 111500Z 09007KT 9000 OVC026 10/03 Q1032</t>
        </is>
      </c>
      <c r="L257" t="inlineStr">
        <is>
          <t>-</t>
        </is>
      </c>
    </row>
    <row r="258">
      <c r="A258" t="n">
        <v>4624516</v>
      </c>
      <c r="B258" s="126" t="n">
        <v>46245</v>
      </c>
      <c r="C258" t="n">
        <v>16</v>
      </c>
      <c r="D258" t="inlineStr">
        <is>
          <t>16 a 17</t>
        </is>
      </c>
      <c r="E258" t="inlineStr">
        <is>
          <t>VMC</t>
        </is>
      </c>
      <c r="F258" t="inlineStr">
        <is>
          <t>ILIM</t>
        </is>
      </c>
      <c r="G258" t="n">
        <v>2800</v>
      </c>
      <c r="H258" t="inlineStr">
        <is>
          <t>NO</t>
        </is>
      </c>
      <c r="I258" t="inlineStr">
        <is>
          <t>COR SADM 111600Z 09006KT 9999 BKN028 10/04 Q1032</t>
        </is>
      </c>
      <c r="J258" t="inlineStr">
        <is>
          <t>s/d</t>
        </is>
      </c>
      <c r="K258" t="inlineStr">
        <is>
          <t>COR SADM 111600Z 09006KT 9999 BKN028 10/04 Q1032</t>
        </is>
      </c>
      <c r="L258" t="inlineStr">
        <is>
          <t>-</t>
        </is>
      </c>
    </row>
    <row r="259">
      <c r="A259" t="n">
        <v>4624517</v>
      </c>
      <c r="B259" s="126" t="n">
        <v>46245</v>
      </c>
      <c r="C259" t="n">
        <v>17</v>
      </c>
      <c r="D259" t="inlineStr">
        <is>
          <t>17 a 18</t>
        </is>
      </c>
      <c r="E259" t="inlineStr">
        <is>
          <t>VMC</t>
        </is>
      </c>
      <c r="F259" t="inlineStr">
        <is>
          <t>ILIM</t>
        </is>
      </c>
      <c r="G259" t="n">
        <v>3000</v>
      </c>
      <c r="H259" t="inlineStr">
        <is>
          <t>NO</t>
        </is>
      </c>
      <c r="I259" t="inlineStr">
        <is>
          <t>SADM 111700Z 07008KT 9999 BKN030 11/03 Q1031</t>
        </is>
      </c>
      <c r="J259" t="inlineStr">
        <is>
          <t>s/d</t>
        </is>
      </c>
      <c r="K259" t="inlineStr">
        <is>
          <t>SADM 111700Z 07008KT 9999 BKN030 11/03 Q1031</t>
        </is>
      </c>
      <c r="L259" t="inlineStr">
        <is>
          <t>-</t>
        </is>
      </c>
    </row>
    <row r="260">
      <c r="A260" t="n">
        <v>4624518</v>
      </c>
      <c r="B260" s="126" t="n">
        <v>46245</v>
      </c>
      <c r="C260" t="n">
        <v>18</v>
      </c>
      <c r="D260" t="inlineStr">
        <is>
          <t>18 a 19</t>
        </is>
      </c>
      <c r="E260" t="inlineStr">
        <is>
          <t>VMC</t>
        </is>
      </c>
      <c r="F260" t="inlineStr">
        <is>
          <t>ILIM</t>
        </is>
      </c>
      <c r="G260" t="n">
        <v>2800</v>
      </c>
      <c r="H260" t="inlineStr">
        <is>
          <t>NO</t>
        </is>
      </c>
      <c r="I260" t="inlineStr">
        <is>
          <t>SADM 111800Z 09009KT 9999 BKN028 11/04 Q1029</t>
        </is>
      </c>
      <c r="J260" t="inlineStr">
        <is>
          <t>s/d</t>
        </is>
      </c>
      <c r="K260" t="inlineStr">
        <is>
          <t>SADM 111800Z 09009KT 9999 BKN028 11/04 Q1029</t>
        </is>
      </c>
      <c r="L260" t="inlineStr">
        <is>
          <t>-</t>
        </is>
      </c>
    </row>
    <row r="261">
      <c r="A261" t="n">
        <v>4624519</v>
      </c>
      <c r="B261" s="126" t="n">
        <v>46245</v>
      </c>
      <c r="C261" t="n">
        <v>19</v>
      </c>
      <c r="D261" t="inlineStr">
        <is>
          <t>19 a 20</t>
        </is>
      </c>
      <c r="E261" t="inlineStr">
        <is>
          <t>VMC</t>
        </is>
      </c>
      <c r="F261" t="n">
        <v>9000</v>
      </c>
      <c r="G261" t="n">
        <v>20000</v>
      </c>
      <c r="H261" t="inlineStr">
        <is>
          <t>NO</t>
        </is>
      </c>
      <c r="I261" t="inlineStr">
        <is>
          <t>SADM 111900Z 07008KT 9000 SCT028 BKN200 11/03 Q1029</t>
        </is>
      </c>
      <c r="J261" t="inlineStr">
        <is>
          <t>s/d</t>
        </is>
      </c>
      <c r="K261" t="inlineStr">
        <is>
          <t>SADM 111900Z 07008KT 9000 SCT028 BKN200 11/03 Q1029</t>
        </is>
      </c>
      <c r="L261" t="inlineStr">
        <is>
          <t>-</t>
        </is>
      </c>
    </row>
    <row r="262">
      <c r="A262" t="n">
        <v>4624520</v>
      </c>
      <c r="B262" s="126" t="n">
        <v>46245</v>
      </c>
      <c r="C262" t="n">
        <v>20</v>
      </c>
      <c r="D262" t="inlineStr">
        <is>
          <t>20 a 21</t>
        </is>
      </c>
      <c r="E262" t="inlineStr">
        <is>
          <t>VMC</t>
        </is>
      </c>
      <c r="F262" t="n">
        <v>9000</v>
      </c>
      <c r="G262" t="n">
        <v>20000</v>
      </c>
      <c r="H262" t="inlineStr">
        <is>
          <t>NO</t>
        </is>
      </c>
      <c r="I262" t="inlineStr">
        <is>
          <t>SADM 112000Z 09006KT 9000 SCT030 OVC200 11/03 Q1029</t>
        </is>
      </c>
      <c r="J262" t="inlineStr">
        <is>
          <t>s/d</t>
        </is>
      </c>
      <c r="K262" t="inlineStr">
        <is>
          <t>SADM 112000Z 09006KT 9000 SCT030 OVC200 11/03 Q1029</t>
        </is>
      </c>
      <c r="L262" t="inlineStr">
        <is>
          <t>-</t>
        </is>
      </c>
    </row>
    <row r="263">
      <c r="A263" t="n">
        <v>4624521</v>
      </c>
      <c r="B263" s="126" t="n">
        <v>46245</v>
      </c>
      <c r="C263" t="n">
        <v>21</v>
      </c>
      <c r="D263" t="inlineStr">
        <is>
          <t>21 a 22</t>
        </is>
      </c>
      <c r="E263" t="inlineStr">
        <is>
          <t>VMC</t>
        </is>
      </c>
      <c r="F263" t="inlineStr">
        <is>
          <t>ILIM</t>
        </is>
      </c>
      <c r="G263" t="n">
        <v>20000</v>
      </c>
      <c r="H263" t="inlineStr">
        <is>
          <t>NO</t>
        </is>
      </c>
      <c r="I263" t="inlineStr">
        <is>
          <t>SADM 112100Z 11007KT 9999 FEW028 OVC200 10/03 Q1028</t>
        </is>
      </c>
      <c r="J263" t="inlineStr">
        <is>
          <t>s/d</t>
        </is>
      </c>
      <c r="K263" t="inlineStr">
        <is>
          <t>SADM 112100Z 11007KT 9999 FEW028 OVC200 10/03 Q1028</t>
        </is>
      </c>
      <c r="L263" t="inlineStr">
        <is>
          <t>-</t>
        </is>
      </c>
    </row>
    <row r="264">
      <c r="A264" t="n">
        <v>4624522</v>
      </c>
      <c r="B264" s="126" t="n">
        <v>46245</v>
      </c>
      <c r="C264" t="n">
        <v>22</v>
      </c>
      <c r="D264" t="inlineStr">
        <is>
          <t>22 a 23</t>
        </is>
      </c>
      <c r="E264" t="inlineStr">
        <is>
          <t>VMC</t>
        </is>
      </c>
      <c r="F264" t="inlineStr">
        <is>
          <t>ILIM</t>
        </is>
      </c>
      <c r="G264" t="n">
        <v>20000</v>
      </c>
      <c r="H264" t="inlineStr">
        <is>
          <t>NO</t>
        </is>
      </c>
      <c r="I264" t="inlineStr">
        <is>
          <t>SADM 112200Z 09008KT 9999 FEW028 BKN200 09/02 Q1028</t>
        </is>
      </c>
      <c r="J264" t="inlineStr">
        <is>
          <t>s/d</t>
        </is>
      </c>
      <c r="K264" t="inlineStr">
        <is>
          <t>SADM 112200Z 09008KT 9999 FEW028 BKN200 09/02 Q1028</t>
        </is>
      </c>
      <c r="L264" t="inlineStr">
        <is>
          <t>-</t>
        </is>
      </c>
    </row>
    <row r="265">
      <c r="A265" t="n">
        <v>4624523</v>
      </c>
      <c r="B265" s="126" t="n">
        <v>46245</v>
      </c>
      <c r="C265" t="n">
        <v>23</v>
      </c>
      <c r="D265" t="inlineStr">
        <is>
          <t>23 a 00</t>
        </is>
      </c>
      <c r="E265" t="inlineStr">
        <is>
          <t>VMC</t>
        </is>
      </c>
      <c r="F265" t="inlineStr">
        <is>
          <t>ILIM</t>
        </is>
      </c>
      <c r="G265" t="inlineStr">
        <is>
          <t>ILIM</t>
        </is>
      </c>
      <c r="H265" t="inlineStr">
        <is>
          <t>NO</t>
        </is>
      </c>
      <c r="I265" t="inlineStr">
        <is>
          <t>SADM 112300Z 11007KT 9999 SCT024 SCT200 09/03 Q1028</t>
        </is>
      </c>
      <c r="J265" t="inlineStr">
        <is>
          <t>s/d</t>
        </is>
      </c>
      <c r="K265" t="inlineStr">
        <is>
          <t>SADM 112300Z 11007KT 9999 SCT024 SCT200 09/03 Q1028</t>
        </is>
      </c>
      <c r="L265" t="inlineStr">
        <is>
          <t>-</t>
        </is>
      </c>
    </row>
    <row r="266">
      <c r="A266" t="n">
        <v>4624600</v>
      </c>
      <c r="B266" s="126" t="n">
        <v>46246</v>
      </c>
      <c r="C266" t="n">
        <v>0</v>
      </c>
      <c r="D266" t="inlineStr">
        <is>
          <t>00 a 01</t>
        </is>
      </c>
      <c r="E266" t="inlineStr">
        <is>
          <t>VMC</t>
        </is>
      </c>
      <c r="F266" t="inlineStr">
        <is>
          <t>ILIM</t>
        </is>
      </c>
      <c r="G266" t="n">
        <v>2200</v>
      </c>
      <c r="H266" t="inlineStr">
        <is>
          <t>NO</t>
        </is>
      </c>
      <c r="I266" t="inlineStr">
        <is>
          <t>SADM 120000Z 11006KT 9999 BKN022 09/03 Q1028</t>
        </is>
      </c>
      <c r="J266" t="inlineStr">
        <is>
          <t>s/d</t>
        </is>
      </c>
      <c r="K266" t="inlineStr">
        <is>
          <t>SADM 120000Z 11006KT 9999 BKN022 09/03 Q1028</t>
        </is>
      </c>
      <c r="L266" t="inlineStr">
        <is>
          <t>-</t>
        </is>
      </c>
    </row>
    <row r="267">
      <c r="A267" t="n">
        <v>4624601</v>
      </c>
      <c r="B267" s="126" t="n">
        <v>46246</v>
      </c>
      <c r="C267" t="n">
        <v>1</v>
      </c>
      <c r="D267" t="inlineStr">
        <is>
          <t>01 a 02</t>
        </is>
      </c>
      <c r="E267" t="inlineStr">
        <is>
          <t>VMC</t>
        </is>
      </c>
      <c r="F267" t="inlineStr">
        <is>
          <t>ILIM</t>
        </is>
      </c>
      <c r="G267" t="inlineStr">
        <is>
          <t>ILIM</t>
        </is>
      </c>
      <c r="H267" t="inlineStr">
        <is>
          <t>NO</t>
        </is>
      </c>
      <c r="I267" t="inlineStr">
        <is>
          <t>SADM 120100Z 11006KT 9999 SCT025 08/03 Q1027</t>
        </is>
      </c>
      <c r="J267" t="inlineStr">
        <is>
          <t>s/d</t>
        </is>
      </c>
      <c r="K267" t="inlineStr">
        <is>
          <t>SADM 120100Z 11006KT 9999 SCT025 08/03 Q1027</t>
        </is>
      </c>
      <c r="L267" t="inlineStr">
        <is>
          <t>-</t>
        </is>
      </c>
    </row>
    <row r="268">
      <c r="A268" t="n">
        <v>4624602</v>
      </c>
      <c r="B268" s="126" t="n">
        <v>46246</v>
      </c>
      <c r="C268" t="n">
        <v>2</v>
      </c>
      <c r="D268" t="inlineStr">
        <is>
          <t>02 a 03</t>
        </is>
      </c>
      <c r="E268" t="inlineStr">
        <is>
          <t>VMC</t>
        </is>
      </c>
      <c r="F268" t="inlineStr">
        <is>
          <t>ILIM</t>
        </is>
      </c>
      <c r="G268" t="inlineStr">
        <is>
          <t>ILIM</t>
        </is>
      </c>
      <c r="H268" t="inlineStr">
        <is>
          <t>NO</t>
        </is>
      </c>
      <c r="I268" t="inlineStr">
        <is>
          <t>SADM 120200Z 14006KT 9999 SCT025 08/04 Q1027</t>
        </is>
      </c>
      <c r="J268" t="inlineStr">
        <is>
          <t>s/d</t>
        </is>
      </c>
      <c r="K268" t="inlineStr">
        <is>
          <t>SADM 120200Z 14006KT 9999 SCT025 08/04 Q1027</t>
        </is>
      </c>
      <c r="L268" t="inlineStr">
        <is>
          <t>-</t>
        </is>
      </c>
    </row>
    <row r="269">
      <c r="A269" t="n">
        <v>4624603</v>
      </c>
      <c r="B269" s="126" t="n">
        <v>46246</v>
      </c>
      <c r="C269" t="n">
        <v>3</v>
      </c>
      <c r="D269" t="inlineStr">
        <is>
          <t>03 a 04</t>
        </is>
      </c>
      <c r="E269" t="inlineStr">
        <is>
          <t>VMC</t>
        </is>
      </c>
      <c r="F269" t="inlineStr">
        <is>
          <t>ILIM</t>
        </is>
      </c>
      <c r="G269" t="n">
        <v>1900</v>
      </c>
      <c r="H269" t="inlineStr">
        <is>
          <t>NO</t>
        </is>
      </c>
      <c r="I269" t="inlineStr">
        <is>
          <t>SADM 120300Z 13005KT 9999 BKN019 07/04 Q1027</t>
        </is>
      </c>
      <c r="J269" t="inlineStr">
        <is>
          <t>s/d</t>
        </is>
      </c>
      <c r="K269" t="inlineStr">
        <is>
          <t>SADM 120300Z 13005KT 9999 BKN019 07/04 Q1027</t>
        </is>
      </c>
      <c r="L269" t="inlineStr">
        <is>
          <t>-</t>
        </is>
      </c>
    </row>
    <row r="270">
      <c r="A270" t="n">
        <v>4624604</v>
      </c>
      <c r="B270" s="126" t="n">
        <v>46246</v>
      </c>
      <c r="C270" t="n">
        <v>4</v>
      </c>
      <c r="D270" t="inlineStr">
        <is>
          <t>04 a 05</t>
        </is>
      </c>
      <c r="E270" t="inlineStr">
        <is>
          <t>VMC</t>
        </is>
      </c>
      <c r="F270" t="inlineStr">
        <is>
          <t>ILIM</t>
        </is>
      </c>
      <c r="G270" t="n">
        <v>1900</v>
      </c>
      <c r="H270" t="inlineStr">
        <is>
          <t>NO</t>
        </is>
      </c>
      <c r="I270" t="inlineStr">
        <is>
          <t>SADM 120400Z 13004KT 9999 OVC019 08/04 Q1027</t>
        </is>
      </c>
      <c r="J270" t="inlineStr">
        <is>
          <t>s/d</t>
        </is>
      </c>
      <c r="K270" t="inlineStr">
        <is>
          <t>SADM 120400Z 13004KT 9999 OVC019 08/04 Q1027</t>
        </is>
      </c>
      <c r="L270" t="inlineStr">
        <is>
          <t>-</t>
        </is>
      </c>
    </row>
    <row r="271">
      <c r="A271" t="n">
        <v>4624605</v>
      </c>
      <c r="B271" s="126" t="n">
        <v>46246</v>
      </c>
      <c r="C271" t="n">
        <v>5</v>
      </c>
      <c r="D271" t="inlineStr">
        <is>
          <t>05 a 06</t>
        </is>
      </c>
      <c r="E271" t="inlineStr">
        <is>
          <t>VMC</t>
        </is>
      </c>
      <c r="F271" t="inlineStr">
        <is>
          <t>ILIM</t>
        </is>
      </c>
      <c r="G271" t="n">
        <v>1900</v>
      </c>
      <c r="H271" t="inlineStr">
        <is>
          <t>NO</t>
        </is>
      </c>
      <c r="I271" t="inlineStr">
        <is>
          <t>SADM 120500Z 09003KT 9999 BKN019 OVC200 09/03 Q1026</t>
        </is>
      </c>
      <c r="J271" t="inlineStr">
        <is>
          <t>s/d</t>
        </is>
      </c>
      <c r="K271" t="inlineStr">
        <is>
          <t>SADM 120500Z 09003KT 9999 BKN019 OVC200 09/03 Q1026</t>
        </is>
      </c>
      <c r="L271" t="inlineStr">
        <is>
          <t>-</t>
        </is>
      </c>
    </row>
    <row r="272">
      <c r="A272" t="n">
        <v>4624606</v>
      </c>
      <c r="B272" s="126" t="n">
        <v>46246</v>
      </c>
      <c r="C272" t="n">
        <v>6</v>
      </c>
      <c r="D272" t="inlineStr">
        <is>
          <t>06 a 07</t>
        </is>
      </c>
      <c r="E272" t="inlineStr">
        <is>
          <t>VMC</t>
        </is>
      </c>
      <c r="F272" t="inlineStr">
        <is>
          <t>ILIM</t>
        </is>
      </c>
      <c r="G272" t="n">
        <v>1900</v>
      </c>
      <c r="H272" t="inlineStr">
        <is>
          <t>NO</t>
        </is>
      </c>
      <c r="I272" t="inlineStr">
        <is>
          <t>SADM 120600Z 07008KT 9999 BKN019 OVC200 09/06 Q1025</t>
        </is>
      </c>
      <c r="J272" t="inlineStr">
        <is>
          <t>s/d</t>
        </is>
      </c>
      <c r="K272" t="inlineStr">
        <is>
          <t>SADM 120600Z 07008KT 9999 BKN019 OVC200 09/06 Q1025</t>
        </is>
      </c>
      <c r="L272" t="inlineStr">
        <is>
          <t>-</t>
        </is>
      </c>
    </row>
    <row r="273">
      <c r="A273" t="n">
        <v>4624607</v>
      </c>
      <c r="B273" s="126" t="n">
        <v>46246</v>
      </c>
      <c r="C273" t="n">
        <v>7</v>
      </c>
      <c r="D273" t="inlineStr">
        <is>
          <t>07 a 08</t>
        </is>
      </c>
      <c r="E273" t="inlineStr">
        <is>
          <t>VMC</t>
        </is>
      </c>
      <c r="F273" t="inlineStr">
        <is>
          <t>ILIM</t>
        </is>
      </c>
      <c r="G273" t="n">
        <v>1900</v>
      </c>
      <c r="H273" t="inlineStr">
        <is>
          <t>NO</t>
        </is>
      </c>
      <c r="I273" t="inlineStr">
        <is>
          <t>SADM 120700Z 09007KT 9999 BKN019 OVC200 10/06 Q1025</t>
        </is>
      </c>
      <c r="J273" t="inlineStr">
        <is>
          <t>s/d</t>
        </is>
      </c>
      <c r="K273" t="inlineStr">
        <is>
          <t>SADM 120700Z 09007KT 9999 BKN019 OVC200 10/06 Q1025</t>
        </is>
      </c>
      <c r="L273" t="inlineStr">
        <is>
          <t>-</t>
        </is>
      </c>
    </row>
    <row r="274">
      <c r="A274" t="n">
        <v>4624608</v>
      </c>
      <c r="B274" s="126" t="n">
        <v>46246</v>
      </c>
      <c r="C274" t="n">
        <v>8</v>
      </c>
      <c r="D274" t="inlineStr">
        <is>
          <t>08 a 09</t>
        </is>
      </c>
      <c r="E274" t="inlineStr">
        <is>
          <t>VMC</t>
        </is>
      </c>
      <c r="F274" t="inlineStr">
        <is>
          <t>ILIM</t>
        </is>
      </c>
      <c r="G274" t="n">
        <v>20000</v>
      </c>
      <c r="H274" t="inlineStr">
        <is>
          <t>NO</t>
        </is>
      </c>
      <c r="I274" t="inlineStr">
        <is>
          <t>SADM 120800Z 09006KT 9999 FEW019 OVC200 09/06 Q1024</t>
        </is>
      </c>
      <c r="J274" t="inlineStr">
        <is>
          <t>s/d</t>
        </is>
      </c>
      <c r="K274" t="inlineStr">
        <is>
          <t>SADM 120800Z 09006KT 9999 FEW019 OVC200 09/06 Q1024</t>
        </is>
      </c>
      <c r="L274" t="inlineStr">
        <is>
          <t>-</t>
        </is>
      </c>
    </row>
    <row r="275">
      <c r="A275" t="n">
        <v>4624609</v>
      </c>
      <c r="B275" s="126" t="n">
        <v>46246</v>
      </c>
      <c r="C275" t="n">
        <v>9</v>
      </c>
      <c r="D275" t="inlineStr">
        <is>
          <t>09 a 10</t>
        </is>
      </c>
      <c r="E275" t="inlineStr">
        <is>
          <t>VMC</t>
        </is>
      </c>
      <c r="F275" t="inlineStr">
        <is>
          <t>ILIM</t>
        </is>
      </c>
      <c r="G275" t="n">
        <v>1900</v>
      </c>
      <c r="H275" t="inlineStr">
        <is>
          <t>NO</t>
        </is>
      </c>
      <c r="I275" t="inlineStr">
        <is>
          <t>SADM 120900Z 09005KT 9999 BKN019 OVC200 09/06 Q1024</t>
        </is>
      </c>
      <c r="J275" t="inlineStr">
        <is>
          <t>s/d</t>
        </is>
      </c>
      <c r="K275" t="inlineStr">
        <is>
          <t>SADM 120900Z 09005KT 9999 BKN019 OVC200 09/06 Q1024</t>
        </is>
      </c>
      <c r="L275" t="inlineStr">
        <is>
          <t>-</t>
        </is>
      </c>
    </row>
    <row r="276">
      <c r="A276" t="n">
        <v>4624610</v>
      </c>
      <c r="B276" s="126" t="n">
        <v>46246</v>
      </c>
      <c r="C276" t="n">
        <v>10</v>
      </c>
      <c r="D276" t="inlineStr">
        <is>
          <t>10 a 11</t>
        </is>
      </c>
      <c r="E276" t="inlineStr">
        <is>
          <t>VMC</t>
        </is>
      </c>
      <c r="F276" t="inlineStr">
        <is>
          <t>ILIM</t>
        </is>
      </c>
      <c r="G276" t="n">
        <v>20000</v>
      </c>
      <c r="H276" t="inlineStr">
        <is>
          <t>NO</t>
        </is>
      </c>
      <c r="I276" t="inlineStr">
        <is>
          <t>SADM 121000Z 11004KT 9999 FEW019 OVC200 09/06 Q1023</t>
        </is>
      </c>
      <c r="J276" t="inlineStr">
        <is>
          <t>s/d</t>
        </is>
      </c>
      <c r="K276" t="inlineStr">
        <is>
          <t>SADM 121000Z 11004KT 9999 FEW019 OVC200 09/06 Q1023</t>
        </is>
      </c>
      <c r="L276" t="inlineStr">
        <is>
          <t>-</t>
        </is>
      </c>
    </row>
    <row r="277">
      <c r="A277" t="n">
        <v>4624611</v>
      </c>
      <c r="B277" s="126" t="n">
        <v>46246</v>
      </c>
      <c r="C277" t="n">
        <v>11</v>
      </c>
      <c r="D277" t="inlineStr">
        <is>
          <t>11 a 12</t>
        </is>
      </c>
      <c r="E277" t="inlineStr">
        <is>
          <t>VMC</t>
        </is>
      </c>
      <c r="F277" t="inlineStr">
        <is>
          <t>ILIM</t>
        </is>
      </c>
      <c r="G277" t="inlineStr">
        <is>
          <t>ILIM</t>
        </is>
      </c>
      <c r="H277" t="inlineStr">
        <is>
          <t>NO</t>
        </is>
      </c>
      <c r="I277" t="inlineStr">
        <is>
          <t>SADM 121100Z 11006KT CAVOK 09/06 Q1023</t>
        </is>
      </c>
      <c r="J277" t="inlineStr">
        <is>
          <t>s/d</t>
        </is>
      </c>
      <c r="K277" t="inlineStr">
        <is>
          <t>SADM 121100Z 11006KT CAVOK 09/06 Q1023</t>
        </is>
      </c>
      <c r="L277" t="inlineStr">
        <is>
          <t>-</t>
        </is>
      </c>
    </row>
    <row r="278">
      <c r="A278" t="n">
        <v>4624612</v>
      </c>
      <c r="B278" s="126" t="n">
        <v>46246</v>
      </c>
      <c r="C278" t="n">
        <v>12</v>
      </c>
      <c r="D278" t="inlineStr">
        <is>
          <t>12 a 13</t>
        </is>
      </c>
      <c r="E278" t="inlineStr">
        <is>
          <t>VMC</t>
        </is>
      </c>
      <c r="F278" t="inlineStr">
        <is>
          <t>ILIM</t>
        </is>
      </c>
      <c r="G278" t="inlineStr">
        <is>
          <t>ILIM</t>
        </is>
      </c>
      <c r="H278" t="inlineStr">
        <is>
          <t>NO</t>
        </is>
      </c>
      <c r="I278" t="inlineStr">
        <is>
          <t>SADM 121200Z 11004KT CAVOK 08/05 Q1023</t>
        </is>
      </c>
      <c r="J278" t="inlineStr">
        <is>
          <t>s/d</t>
        </is>
      </c>
      <c r="K278" t="inlineStr">
        <is>
          <t>SADM 121200Z 11004KT CAVOK 08/05 Q1023</t>
        </is>
      </c>
      <c r="L278" t="inlineStr">
        <is>
          <t>-</t>
        </is>
      </c>
    </row>
    <row r="279">
      <c r="A279" t="n">
        <v>4624613</v>
      </c>
      <c r="B279" s="126" t="n">
        <v>46246</v>
      </c>
      <c r="C279" t="n">
        <v>13</v>
      </c>
      <c r="D279" t="inlineStr">
        <is>
          <t>13 a 14</t>
        </is>
      </c>
      <c r="E279" t="inlineStr">
        <is>
          <t>VMC</t>
        </is>
      </c>
      <c r="F279" t="inlineStr">
        <is>
          <t>ILIM</t>
        </is>
      </c>
      <c r="G279" t="n">
        <v>1700</v>
      </c>
      <c r="H279" t="inlineStr">
        <is>
          <t>NO</t>
        </is>
      </c>
      <c r="I279" t="inlineStr">
        <is>
          <t>SADM 121300Z 14008KT 9999 BKN017 SCT100 OVC200 09/06 Q1023</t>
        </is>
      </c>
      <c r="J279" t="inlineStr">
        <is>
          <t>s/d</t>
        </is>
      </c>
      <c r="K279" t="inlineStr">
        <is>
          <t>SADM 121300Z 14008KT 9999 BKN017 SCT100 OVC200 09/06 Q1023</t>
        </is>
      </c>
      <c r="L279" t="inlineStr">
        <is>
          <t>-</t>
        </is>
      </c>
    </row>
    <row r="280">
      <c r="A280" t="n">
        <v>4624614</v>
      </c>
      <c r="B280" s="126" t="n">
        <v>46246</v>
      </c>
      <c r="C280" t="n">
        <v>14</v>
      </c>
      <c r="D280" t="inlineStr">
        <is>
          <t>14 a 15</t>
        </is>
      </c>
      <c r="E280" t="inlineStr">
        <is>
          <t>VMC</t>
        </is>
      </c>
      <c r="F280" t="inlineStr">
        <is>
          <t>ILIM</t>
        </is>
      </c>
      <c r="G280" t="n">
        <v>2000</v>
      </c>
      <c r="H280" t="inlineStr">
        <is>
          <t>NO</t>
        </is>
      </c>
      <c r="I280" t="inlineStr">
        <is>
          <t>SADM 121400Z 14007KT 9999 BKN020 OVC200 10/06 Q1023</t>
        </is>
      </c>
      <c r="J280" t="inlineStr">
        <is>
          <t>s/d</t>
        </is>
      </c>
      <c r="K280" t="inlineStr">
        <is>
          <t>SADM 121400Z 14007KT 9999 BKN020 OVC200 10/06 Q1023</t>
        </is>
      </c>
      <c r="L280" t="inlineStr">
        <is>
          <t>-</t>
        </is>
      </c>
    </row>
    <row r="281">
      <c r="A281" t="n">
        <v>4624615</v>
      </c>
      <c r="B281" s="126" t="n">
        <v>46246</v>
      </c>
      <c r="C281" t="n">
        <v>15</v>
      </c>
      <c r="D281" t="inlineStr">
        <is>
          <t>15 a 16</t>
        </is>
      </c>
      <c r="E281" t="inlineStr">
        <is>
          <t>VMC</t>
        </is>
      </c>
      <c r="F281" t="inlineStr">
        <is>
          <t>ILIM</t>
        </is>
      </c>
      <c r="G281" t="n">
        <v>2000</v>
      </c>
      <c r="H281" t="inlineStr">
        <is>
          <t>NO</t>
        </is>
      </c>
      <c r="I281" t="inlineStr">
        <is>
          <t>SADM 121500Z 11008KT 9999 OVC020 11/07 Q1023</t>
        </is>
      </c>
      <c r="J281" t="inlineStr">
        <is>
          <t>s/d</t>
        </is>
      </c>
      <c r="K281" t="inlineStr">
        <is>
          <t>SADM 121500Z 11008KT 9999 OVC020 11/07 Q1023</t>
        </is>
      </c>
      <c r="L281" t="inlineStr">
        <is>
          <t>-</t>
        </is>
      </c>
    </row>
    <row r="282">
      <c r="A282" t="n">
        <v>4624616</v>
      </c>
      <c r="B282" s="126" t="n">
        <v>46246</v>
      </c>
      <c r="C282" t="n">
        <v>16</v>
      </c>
      <c r="D282" t="inlineStr">
        <is>
          <t>16 a 17</t>
        </is>
      </c>
      <c r="E282" t="inlineStr">
        <is>
          <t>VMC</t>
        </is>
      </c>
      <c r="F282" t="inlineStr">
        <is>
          <t>ILIM</t>
        </is>
      </c>
      <c r="G282" t="n">
        <v>1800</v>
      </c>
      <c r="H282" t="inlineStr">
        <is>
          <t>NO</t>
        </is>
      </c>
      <c r="I282" t="inlineStr">
        <is>
          <t>SADM 121600Z 16009KT 9999 OVC018 11/07 Q1023</t>
        </is>
      </c>
      <c r="J282" t="inlineStr">
        <is>
          <t>s/d</t>
        </is>
      </c>
      <c r="K282" t="inlineStr">
        <is>
          <t>SADM 121600Z 16009KT 9999 OVC018 11/07 Q1023</t>
        </is>
      </c>
      <c r="L282" t="inlineStr">
        <is>
          <t>-</t>
        </is>
      </c>
    </row>
    <row r="283">
      <c r="A283" t="n">
        <v>4624617</v>
      </c>
      <c r="B283" s="126" t="n">
        <v>46246</v>
      </c>
      <c r="C283" t="n">
        <v>17</v>
      </c>
      <c r="D283" t="inlineStr">
        <is>
          <t>17 a 18</t>
        </is>
      </c>
      <c r="E283" t="inlineStr">
        <is>
          <t>VMC</t>
        </is>
      </c>
      <c r="F283" t="inlineStr">
        <is>
          <t>ILIM</t>
        </is>
      </c>
      <c r="G283" t="n">
        <v>2200</v>
      </c>
      <c r="H283" t="inlineStr">
        <is>
          <t>NO</t>
        </is>
      </c>
      <c r="I283" t="inlineStr">
        <is>
          <t>SADM 121700Z 16009KT 9999 OVC022 11/07 Q1022</t>
        </is>
      </c>
      <c r="J283" t="inlineStr">
        <is>
          <t>s/d</t>
        </is>
      </c>
      <c r="K283" t="inlineStr">
        <is>
          <t>SADM 121700Z 16009KT 9999 OVC022 11/07 Q1022</t>
        </is>
      </c>
      <c r="L283" t="inlineStr">
        <is>
          <t>-</t>
        </is>
      </c>
    </row>
    <row r="284">
      <c r="A284" t="n">
        <v>4624618</v>
      </c>
      <c r="B284" s="126" t="n">
        <v>46246</v>
      </c>
      <c r="C284" t="n">
        <v>18</v>
      </c>
      <c r="D284" t="inlineStr">
        <is>
          <t>18 a 19</t>
        </is>
      </c>
      <c r="E284" t="inlineStr">
        <is>
          <t>VMC</t>
        </is>
      </c>
      <c r="F284" t="inlineStr">
        <is>
          <t>ILIM</t>
        </is>
      </c>
      <c r="G284" t="n">
        <v>1700</v>
      </c>
      <c r="H284" t="inlineStr">
        <is>
          <t>NO</t>
        </is>
      </c>
      <c r="I284" t="inlineStr">
        <is>
          <t>SADM 121800Z 14010KT 9999 BKN017 BKN200 12/07 Q1021</t>
        </is>
      </c>
      <c r="J284" t="inlineStr">
        <is>
          <t>s/d</t>
        </is>
      </c>
      <c r="K284" t="inlineStr">
        <is>
          <t>SADM 121800Z 14010KT 9999 BKN017 BKN200 12/07 Q1021</t>
        </is>
      </c>
      <c r="L284" t="inlineStr">
        <is>
          <t>-</t>
        </is>
      </c>
    </row>
    <row r="285">
      <c r="A285" t="n">
        <v>4624619</v>
      </c>
      <c r="B285" s="126" t="n">
        <v>46246</v>
      </c>
      <c r="C285" t="n">
        <v>19</v>
      </c>
      <c r="D285" t="inlineStr">
        <is>
          <t>19 a 20</t>
        </is>
      </c>
      <c r="E285" t="inlineStr">
        <is>
          <t>VMC</t>
        </is>
      </c>
      <c r="F285" t="inlineStr">
        <is>
          <t>ILIM</t>
        </is>
      </c>
      <c r="G285" t="n">
        <v>1900</v>
      </c>
      <c r="H285" t="inlineStr">
        <is>
          <t>NO</t>
        </is>
      </c>
      <c r="I285" t="inlineStr">
        <is>
          <t>SADM 121900Z 14011KT 9999 OVC019 11/07 Q1020</t>
        </is>
      </c>
      <c r="J285" t="inlineStr">
        <is>
          <t>s/d</t>
        </is>
      </c>
      <c r="K285" t="inlineStr">
        <is>
          <t>SADM 121900Z 14011KT 9999 OVC019 11/07 Q1020</t>
        </is>
      </c>
      <c r="L285" t="inlineStr">
        <is>
          <t>-</t>
        </is>
      </c>
    </row>
    <row r="286">
      <c r="A286" t="n">
        <v>4624620</v>
      </c>
      <c r="B286" s="126" t="n">
        <v>46246</v>
      </c>
      <c r="C286" t="n">
        <v>20</v>
      </c>
      <c r="D286" t="inlineStr">
        <is>
          <t>20 a 21</t>
        </is>
      </c>
      <c r="E286" t="inlineStr">
        <is>
          <t>VMC</t>
        </is>
      </c>
      <c r="F286" t="inlineStr">
        <is>
          <t>ILIM</t>
        </is>
      </c>
      <c r="G286" t="n">
        <v>2500</v>
      </c>
      <c r="H286" t="inlineStr">
        <is>
          <t>NO</t>
        </is>
      </c>
      <c r="I286" t="inlineStr">
        <is>
          <t>SADM 122000Z 14009KT 9999 BKN025 OVC200 11/07 Q1020</t>
        </is>
      </c>
      <c r="J286" t="inlineStr">
        <is>
          <t>s/d</t>
        </is>
      </c>
      <c r="K286" t="inlineStr">
        <is>
          <t>SADM 122000Z 14009KT 9999 BKN025 OVC200 11/07 Q1020</t>
        </is>
      </c>
      <c r="L286" t="inlineStr">
        <is>
          <t>-</t>
        </is>
      </c>
    </row>
    <row r="287">
      <c r="A287" t="n">
        <v>4624621</v>
      </c>
      <c r="B287" s="126" t="n">
        <v>46246</v>
      </c>
      <c r="C287" t="n">
        <v>21</v>
      </c>
      <c r="D287" t="inlineStr">
        <is>
          <t>21 a 22</t>
        </is>
      </c>
      <c r="E287" t="inlineStr">
        <is>
          <t>VMC</t>
        </is>
      </c>
      <c r="F287" t="inlineStr">
        <is>
          <t>ILIM</t>
        </is>
      </c>
      <c r="G287" t="n">
        <v>1700</v>
      </c>
      <c r="H287" t="inlineStr">
        <is>
          <t>NO</t>
        </is>
      </c>
      <c r="I287" t="inlineStr">
        <is>
          <t>SADM 122100Z 14009KT 9999 BKN017 BKN200 10/07 Q1021</t>
        </is>
      </c>
      <c r="J287" t="inlineStr">
        <is>
          <t>s/d</t>
        </is>
      </c>
      <c r="K287" t="inlineStr">
        <is>
          <t>SADM 122100Z 14009KT 9999 BKN017 BKN200 10/07 Q1021</t>
        </is>
      </c>
      <c r="L287" t="inlineStr">
        <is>
          <t>-</t>
        </is>
      </c>
    </row>
    <row r="288">
      <c r="A288" t="n">
        <v>4624622</v>
      </c>
      <c r="B288" s="126" t="n">
        <v>46246</v>
      </c>
      <c r="C288" t="n">
        <v>22</v>
      </c>
      <c r="D288" t="inlineStr">
        <is>
          <t>22 a 23</t>
        </is>
      </c>
      <c r="E288" t="inlineStr">
        <is>
          <t>VMC</t>
        </is>
      </c>
      <c r="F288" t="inlineStr">
        <is>
          <t>ILIM</t>
        </is>
      </c>
      <c r="G288" t="n">
        <v>1900</v>
      </c>
      <c r="H288" t="inlineStr">
        <is>
          <t>NO</t>
        </is>
      </c>
      <c r="I288" t="inlineStr">
        <is>
          <t>SADM 122200Z 14009KT 9999 OVC019 11/07 Q1021</t>
        </is>
      </c>
      <c r="J288" t="inlineStr">
        <is>
          <t>s/d</t>
        </is>
      </c>
      <c r="K288" t="inlineStr">
        <is>
          <t>SADM 122200Z 14009KT 9999 OVC019 11/07 Q1021</t>
        </is>
      </c>
      <c r="L288" t="inlineStr">
        <is>
          <t>-</t>
        </is>
      </c>
    </row>
    <row r="289">
      <c r="A289" t="n">
        <v>4624623</v>
      </c>
      <c r="B289" s="126" t="n">
        <v>46246</v>
      </c>
      <c r="C289" t="n">
        <v>23</v>
      </c>
      <c r="D289" t="inlineStr">
        <is>
          <t>23 a 00</t>
        </is>
      </c>
      <c r="E289" t="inlineStr">
        <is>
          <t>VMC</t>
        </is>
      </c>
      <c r="F289" t="inlineStr">
        <is>
          <t>ILIM</t>
        </is>
      </c>
      <c r="G289" t="n">
        <v>1700</v>
      </c>
      <c r="H289" t="inlineStr">
        <is>
          <t>NO</t>
        </is>
      </c>
      <c r="I289" t="inlineStr">
        <is>
          <t>SADM 122300Z 14011KT 9999 OVC017 09/06 Q1021</t>
        </is>
      </c>
      <c r="J289" t="inlineStr">
        <is>
          <t>s/d</t>
        </is>
      </c>
      <c r="K289" t="inlineStr">
        <is>
          <t>SADM 122300Z 14011KT 9999 OVC017 09/06 Q1021</t>
        </is>
      </c>
      <c r="L289" t="inlineStr">
        <is>
          <t>-</t>
        </is>
      </c>
    </row>
    <row r="290">
      <c r="A290" t="n">
        <v>4624700</v>
      </c>
      <c r="B290" s="126" t="n">
        <v>46247</v>
      </c>
      <c r="C290" t="n">
        <v>0</v>
      </c>
      <c r="D290" t="inlineStr">
        <is>
          <t>00 a 01</t>
        </is>
      </c>
      <c r="E290" t="inlineStr">
        <is>
          <t>VMC</t>
        </is>
      </c>
      <c r="F290" t="inlineStr">
        <is>
          <t>ILIM</t>
        </is>
      </c>
      <c r="G290" t="n">
        <v>1500</v>
      </c>
      <c r="H290" t="inlineStr">
        <is>
          <t>NO</t>
        </is>
      </c>
      <c r="I290" t="inlineStr">
        <is>
          <t>SADM 130000Z 14010KT 9999 OVC015 09/06 Q1023</t>
        </is>
      </c>
      <c r="J290" t="inlineStr">
        <is>
          <t>s/d</t>
        </is>
      </c>
      <c r="K290" t="inlineStr">
        <is>
          <t>SADM 130000Z 14010KT 9999 OVC015 09/06 Q1023</t>
        </is>
      </c>
      <c r="L290" t="inlineStr">
        <is>
          <t>-</t>
        </is>
      </c>
    </row>
    <row r="291">
      <c r="A291" t="n">
        <v>4624701</v>
      </c>
      <c r="B291" s="126" t="n">
        <v>46247</v>
      </c>
      <c r="C291" t="n">
        <v>1</v>
      </c>
      <c r="D291" t="inlineStr">
        <is>
          <t>01 a 02</t>
        </is>
      </c>
      <c r="E291" t="inlineStr">
        <is>
          <t>VMC</t>
        </is>
      </c>
      <c r="F291" t="inlineStr">
        <is>
          <t>ILIM</t>
        </is>
      </c>
      <c r="G291" t="n">
        <v>1500</v>
      </c>
      <c r="H291" t="inlineStr">
        <is>
          <t>NO</t>
        </is>
      </c>
      <c r="I291" t="inlineStr">
        <is>
          <t>SADM 130100Z 14008KT 9999 OVC015 09/06 Q1023</t>
        </is>
      </c>
      <c r="J291" t="inlineStr">
        <is>
          <t>s/d</t>
        </is>
      </c>
      <c r="K291" t="inlineStr">
        <is>
          <t>SADM 130100Z 14008KT 9999 OVC015 09/06 Q1023</t>
        </is>
      </c>
      <c r="L291" t="inlineStr">
        <is>
          <t>-</t>
        </is>
      </c>
    </row>
    <row r="292">
      <c r="A292" t="n">
        <v>4624702</v>
      </c>
      <c r="B292" s="126" t="n">
        <v>46247</v>
      </c>
      <c r="C292" t="n">
        <v>2</v>
      </c>
      <c r="D292" t="inlineStr">
        <is>
          <t>02 a 03</t>
        </is>
      </c>
      <c r="E292" t="inlineStr">
        <is>
          <t>VMC</t>
        </is>
      </c>
      <c r="F292" t="inlineStr">
        <is>
          <t>ILIM</t>
        </is>
      </c>
      <c r="G292" t="n">
        <v>1600</v>
      </c>
      <c r="H292" t="inlineStr">
        <is>
          <t>NO</t>
        </is>
      </c>
      <c r="I292" t="inlineStr">
        <is>
          <t>SADM 130200Z 14010KT 9999 OVC016 09/06 Q1023</t>
        </is>
      </c>
      <c r="J292" t="inlineStr">
        <is>
          <t>s/d</t>
        </is>
      </c>
      <c r="K292" t="inlineStr">
        <is>
          <t>SADM 130200Z 14010KT 9999 OVC016 09/06 Q1023</t>
        </is>
      </c>
      <c r="L292" t="inlineStr">
        <is>
          <t>-</t>
        </is>
      </c>
    </row>
    <row r="293">
      <c r="A293" t="n">
        <v>4624703</v>
      </c>
      <c r="B293" s="126" t="n">
        <v>46247</v>
      </c>
      <c r="C293" t="n">
        <v>3</v>
      </c>
      <c r="D293" t="inlineStr">
        <is>
          <t>03 a 04</t>
        </is>
      </c>
      <c r="E293" t="inlineStr">
        <is>
          <t>VMC</t>
        </is>
      </c>
      <c r="F293" t="inlineStr">
        <is>
          <t>ILIM</t>
        </is>
      </c>
      <c r="G293" t="n">
        <v>1600</v>
      </c>
      <c r="H293" t="inlineStr">
        <is>
          <t>NO</t>
        </is>
      </c>
      <c r="I293" t="inlineStr">
        <is>
          <t>SADM 130300Z 14011KT 9999 OVC016 08/06 Q1023</t>
        </is>
      </c>
      <c r="J293" t="inlineStr">
        <is>
          <t>s/d</t>
        </is>
      </c>
      <c r="K293" t="inlineStr">
        <is>
          <t>SADM 130300Z 14011KT 9999 OVC016 08/06 Q1023</t>
        </is>
      </c>
      <c r="L293" t="inlineStr">
        <is>
          <t>-</t>
        </is>
      </c>
    </row>
    <row r="294">
      <c r="A294" t="n">
        <v>4624704</v>
      </c>
      <c r="B294" s="126" t="n">
        <v>46247</v>
      </c>
      <c r="C294" t="n">
        <v>4</v>
      </c>
      <c r="D294" t="inlineStr">
        <is>
          <t>04 a 05</t>
        </is>
      </c>
      <c r="E294" t="inlineStr">
        <is>
          <t>VMC</t>
        </is>
      </c>
      <c r="F294" t="inlineStr">
        <is>
          <t>ILIM</t>
        </is>
      </c>
      <c r="G294" t="n">
        <v>1500</v>
      </c>
      <c r="H294" t="inlineStr">
        <is>
          <t>NO</t>
        </is>
      </c>
      <c r="I294" t="inlineStr">
        <is>
          <t>SADM 130400Z 14010KT 9999 OVC015 08/05 Q1023</t>
        </is>
      </c>
      <c r="J294" t="inlineStr">
        <is>
          <t>s/d</t>
        </is>
      </c>
      <c r="K294" t="inlineStr">
        <is>
          <t>SADM 130400Z 14010KT 9999 OVC015 08/05 Q1023</t>
        </is>
      </c>
      <c r="L294" t="inlineStr">
        <is>
          <t>-</t>
        </is>
      </c>
    </row>
    <row r="295">
      <c r="A295" t="n">
        <v>4624705</v>
      </c>
      <c r="B295" s="126" t="n">
        <v>46247</v>
      </c>
      <c r="C295" t="n">
        <v>5</v>
      </c>
      <c r="D295" t="inlineStr">
        <is>
          <t>05 a 06</t>
        </is>
      </c>
      <c r="E295" t="inlineStr">
        <is>
          <t>VMC</t>
        </is>
      </c>
      <c r="F295" t="inlineStr">
        <is>
          <t>ILIM</t>
        </is>
      </c>
      <c r="G295" t="n">
        <v>1500</v>
      </c>
      <c r="H295" t="inlineStr">
        <is>
          <t>NO</t>
        </is>
      </c>
      <c r="I295" t="inlineStr">
        <is>
          <t>SADM 130500Z 14007KT 9999 OVC015 08/05 Q1023</t>
        </is>
      </c>
      <c r="J295" t="inlineStr">
        <is>
          <t>s/d</t>
        </is>
      </c>
      <c r="K295" t="inlineStr">
        <is>
          <t>SADM 130500Z 14007KT 9999 OVC015 08/05 Q1023</t>
        </is>
      </c>
      <c r="L295" t="inlineStr">
        <is>
          <t>-</t>
        </is>
      </c>
    </row>
    <row r="296">
      <c r="A296" t="n">
        <v>4624706</v>
      </c>
      <c r="B296" s="126" t="n">
        <v>46247</v>
      </c>
      <c r="C296" t="n">
        <v>6</v>
      </c>
      <c r="D296" t="inlineStr">
        <is>
          <t>06 a 07</t>
        </is>
      </c>
      <c r="E296" t="inlineStr">
        <is>
          <t>VMC</t>
        </is>
      </c>
      <c r="F296" t="inlineStr">
        <is>
          <t>ILIM</t>
        </is>
      </c>
      <c r="G296" t="n">
        <v>1600</v>
      </c>
      <c r="H296" t="inlineStr">
        <is>
          <t>NO</t>
        </is>
      </c>
      <c r="I296" t="inlineStr">
        <is>
          <t>SADM 130600Z 14010KT 9999 OVC016 08/05 Q1023</t>
        </is>
      </c>
      <c r="J296" t="inlineStr">
        <is>
          <t>s/d</t>
        </is>
      </c>
      <c r="K296" t="inlineStr">
        <is>
          <t>SADM 130600Z 14010KT 9999 OVC016 08/05 Q1023</t>
        </is>
      </c>
      <c r="L296" t="inlineStr">
        <is>
          <t>-</t>
        </is>
      </c>
    </row>
    <row r="297">
      <c r="A297" t="n">
        <v>4624707</v>
      </c>
      <c r="B297" s="126" t="n">
        <v>46247</v>
      </c>
      <c r="C297" t="n">
        <v>7</v>
      </c>
      <c r="D297" t="inlineStr">
        <is>
          <t>07 a 08</t>
        </is>
      </c>
      <c r="E297" t="inlineStr">
        <is>
          <t>VMC</t>
        </is>
      </c>
      <c r="F297" t="inlineStr">
        <is>
          <t>ILIM</t>
        </is>
      </c>
      <c r="G297" t="n">
        <v>1600</v>
      </c>
      <c r="H297" t="inlineStr">
        <is>
          <t>NO</t>
        </is>
      </c>
      <c r="I297" t="inlineStr">
        <is>
          <t>SADM 130700Z 14009KT 9999 OVC016 08/05 Q1023</t>
        </is>
      </c>
      <c r="J297" t="inlineStr">
        <is>
          <t>s/d</t>
        </is>
      </c>
      <c r="K297" t="inlineStr">
        <is>
          <t>SADM 130700Z 14009KT 9999 OVC016 08/05 Q1023</t>
        </is>
      </c>
      <c r="L297" t="inlineStr">
        <is>
          <t>-</t>
        </is>
      </c>
    </row>
    <row r="298">
      <c r="A298" t="n">
        <v>4624708</v>
      </c>
      <c r="B298" s="126" t="n">
        <v>46247</v>
      </c>
      <c r="C298" t="n">
        <v>8</v>
      </c>
      <c r="D298" t="inlineStr">
        <is>
          <t>08 a 09</t>
        </is>
      </c>
      <c r="E298" t="inlineStr">
        <is>
          <t>VMC</t>
        </is>
      </c>
      <c r="F298" t="inlineStr">
        <is>
          <t>ILIM</t>
        </is>
      </c>
      <c r="G298" t="n">
        <v>1800</v>
      </c>
      <c r="H298" t="inlineStr">
        <is>
          <t>NO</t>
        </is>
      </c>
      <c r="I298" t="inlineStr">
        <is>
          <t>SADM 130800Z 14007KT 9999 OVC018 08/06 Q1023</t>
        </is>
      </c>
      <c r="J298" t="inlineStr">
        <is>
          <t>s/d</t>
        </is>
      </c>
      <c r="K298" t="inlineStr">
        <is>
          <t>SADM 130800Z 14007KT 9999 OVC018 08/06 Q1023</t>
        </is>
      </c>
      <c r="L298" t="inlineStr">
        <is>
          <t>-</t>
        </is>
      </c>
    </row>
    <row r="299">
      <c r="A299" t="n">
        <v>4624709</v>
      </c>
      <c r="B299" s="126" t="n">
        <v>46247</v>
      </c>
      <c r="C299" t="n">
        <v>9</v>
      </c>
      <c r="D299" t="inlineStr">
        <is>
          <t>09 a 10</t>
        </is>
      </c>
      <c r="E299" t="inlineStr">
        <is>
          <t>VMC</t>
        </is>
      </c>
      <c r="F299" t="inlineStr">
        <is>
          <t>ILIM</t>
        </is>
      </c>
      <c r="G299" t="n">
        <v>2000</v>
      </c>
      <c r="H299" t="inlineStr">
        <is>
          <t>NO</t>
        </is>
      </c>
      <c r="I299" t="inlineStr">
        <is>
          <t>SADM 130900Z 14008KT 9999 OVC020 08/06 Q1023</t>
        </is>
      </c>
      <c r="J299" t="inlineStr">
        <is>
          <t>s/d</t>
        </is>
      </c>
      <c r="K299" t="inlineStr">
        <is>
          <t>SADM 130900Z 14008KT 9999 OVC020 08/06 Q1023</t>
        </is>
      </c>
      <c r="L299" t="inlineStr">
        <is>
          <t>-</t>
        </is>
      </c>
    </row>
    <row r="300">
      <c r="A300" t="n">
        <v>4624710</v>
      </c>
      <c r="B300" s="126" t="n">
        <v>46247</v>
      </c>
      <c r="C300" t="n">
        <v>10</v>
      </c>
      <c r="D300" t="inlineStr">
        <is>
          <t>10 a 11</t>
        </is>
      </c>
      <c r="E300" t="inlineStr">
        <is>
          <t>VMC</t>
        </is>
      </c>
      <c r="F300" t="inlineStr">
        <is>
          <t>ILIM</t>
        </is>
      </c>
      <c r="G300" t="n">
        <v>2000</v>
      </c>
      <c r="H300" t="inlineStr">
        <is>
          <t>NO</t>
        </is>
      </c>
      <c r="I300" t="inlineStr">
        <is>
          <t>SADM 131000Z 14009KT 9999 OVC020 08/06 Q1023</t>
        </is>
      </c>
      <c r="J300" t="inlineStr">
        <is>
          <t>s/d</t>
        </is>
      </c>
      <c r="K300" t="inlineStr">
        <is>
          <t>SADM 131000Z 14009KT 9999 OVC020 08/06 Q1023</t>
        </is>
      </c>
      <c r="L300" t="inlineStr">
        <is>
          <t>-</t>
        </is>
      </c>
    </row>
    <row r="301">
      <c r="A301" t="n">
        <v>4624711</v>
      </c>
      <c r="B301" s="126" t="n">
        <v>46247</v>
      </c>
      <c r="C301" t="n">
        <v>11</v>
      </c>
      <c r="D301" t="inlineStr">
        <is>
          <t>11 a 12</t>
        </is>
      </c>
      <c r="E301" t="inlineStr">
        <is>
          <t>VMC</t>
        </is>
      </c>
      <c r="F301" t="inlineStr">
        <is>
          <t>ILIM</t>
        </is>
      </c>
      <c r="G301" t="n">
        <v>2500</v>
      </c>
      <c r="H301" t="inlineStr">
        <is>
          <t>NO</t>
        </is>
      </c>
      <c r="I301" t="inlineStr">
        <is>
          <t>SADM 131100Z 14006KT 9999 OVC025 08/04 Q1025</t>
        </is>
      </c>
      <c r="J301" t="inlineStr">
        <is>
          <t>s/d</t>
        </is>
      </c>
      <c r="K301" t="inlineStr">
        <is>
          <t>SADM 131100Z 14006KT 9999 OVC025 08/04 Q1025</t>
        </is>
      </c>
      <c r="L301" t="inlineStr">
        <is>
          <t>-</t>
        </is>
      </c>
    </row>
    <row r="302">
      <c r="A302" t="n">
        <v>4624712</v>
      </c>
      <c r="B302" s="126" t="n">
        <v>46247</v>
      </c>
      <c r="C302" t="n">
        <v>12</v>
      </c>
      <c r="D302" t="inlineStr">
        <is>
          <t>12 a 13</t>
        </is>
      </c>
      <c r="E302" t="inlineStr">
        <is>
          <t>VMC</t>
        </is>
      </c>
      <c r="F302" t="inlineStr">
        <is>
          <t>ILIM</t>
        </is>
      </c>
      <c r="G302" t="n">
        <v>2600</v>
      </c>
      <c r="H302" t="inlineStr">
        <is>
          <t>NO</t>
        </is>
      </c>
      <c r="I302" t="inlineStr">
        <is>
          <t>SADM 131200Z 16008KT 9999 OVC026 07/05 Q1026</t>
        </is>
      </c>
      <c r="J302" t="inlineStr">
        <is>
          <t>s/d</t>
        </is>
      </c>
      <c r="K302" t="inlineStr">
        <is>
          <t>SADM 131200Z 16008KT 9999 OVC026 07/05 Q1026</t>
        </is>
      </c>
      <c r="L302" t="inlineStr">
        <is>
          <t>-</t>
        </is>
      </c>
    </row>
    <row r="303">
      <c r="A303" t="n">
        <v>4624713</v>
      </c>
      <c r="B303" s="126" t="n">
        <v>46247</v>
      </c>
      <c r="C303" t="n">
        <v>13</v>
      </c>
      <c r="D303" t="inlineStr">
        <is>
          <t>13 a 14</t>
        </is>
      </c>
      <c r="E303" t="inlineStr">
        <is>
          <t>VMC</t>
        </is>
      </c>
      <c r="F303" t="inlineStr">
        <is>
          <t>ILIM</t>
        </is>
      </c>
      <c r="G303" t="n">
        <v>2700</v>
      </c>
      <c r="H303" t="inlineStr">
        <is>
          <t>NO</t>
        </is>
      </c>
      <c r="I303" t="inlineStr">
        <is>
          <t>SADM 131300Z 16006KT 9999 OVC027 08/02 Q1026</t>
        </is>
      </c>
      <c r="J303" t="inlineStr">
        <is>
          <t>s/d</t>
        </is>
      </c>
      <c r="K303" t="inlineStr">
        <is>
          <t>SADM 131300Z 16006KT 9999 OVC027 08/02 Q1026</t>
        </is>
      </c>
      <c r="L303" t="inlineStr">
        <is>
          <t>-</t>
        </is>
      </c>
    </row>
    <row r="304">
      <c r="A304" t="n">
        <v>4624714</v>
      </c>
      <c r="B304" s="126" t="n">
        <v>46247</v>
      </c>
      <c r="C304" t="n">
        <v>14</v>
      </c>
      <c r="D304" t="inlineStr">
        <is>
          <t>14 a 15</t>
        </is>
      </c>
      <c r="E304" t="inlineStr">
        <is>
          <t>VMC</t>
        </is>
      </c>
      <c r="F304" t="inlineStr">
        <is>
          <t>ILIM</t>
        </is>
      </c>
      <c r="G304" t="n">
        <v>2200</v>
      </c>
      <c r="H304" t="inlineStr">
        <is>
          <t>NO</t>
        </is>
      </c>
      <c r="I304" t="inlineStr">
        <is>
          <t>SADM 131400Z 14007KT 9999 BKN022 OVC100 09/04 Q1026</t>
        </is>
      </c>
      <c r="J304" t="inlineStr">
        <is>
          <t>s/d</t>
        </is>
      </c>
      <c r="K304" t="inlineStr">
        <is>
          <t>SADM 131400Z 14007KT 9999 BKN022 OVC100 09/04 Q1026</t>
        </is>
      </c>
      <c r="L304" t="inlineStr">
        <is>
          <t>-</t>
        </is>
      </c>
    </row>
    <row r="305">
      <c r="A305" t="n">
        <v>4624715</v>
      </c>
      <c r="B305" s="126" t="n">
        <v>46247</v>
      </c>
      <c r="C305" t="n">
        <v>15</v>
      </c>
      <c r="D305" t="inlineStr">
        <is>
          <t>15 a 16</t>
        </is>
      </c>
      <c r="E305" t="inlineStr">
        <is>
          <t>VMC</t>
        </is>
      </c>
      <c r="F305" t="inlineStr">
        <is>
          <t>ILIM</t>
        </is>
      </c>
      <c r="G305" t="n">
        <v>2000</v>
      </c>
      <c r="H305" t="inlineStr">
        <is>
          <t>NO</t>
        </is>
      </c>
      <c r="I305" t="inlineStr">
        <is>
          <t>SADM 131500Z 14008KT 9999 OVC020 09/05 Q1026</t>
        </is>
      </c>
      <c r="J305" t="inlineStr">
        <is>
          <t>s/d</t>
        </is>
      </c>
      <c r="K305" t="inlineStr">
        <is>
          <t>SADM 131500Z 14008KT 9999 OVC020 09/05 Q1026</t>
        </is>
      </c>
      <c r="L305" t="inlineStr">
        <is>
          <t>-</t>
        </is>
      </c>
    </row>
    <row r="306">
      <c r="A306" t="n">
        <v>4624716</v>
      </c>
      <c r="B306" s="126" t="n">
        <v>46247</v>
      </c>
      <c r="C306" t="n">
        <v>16</v>
      </c>
      <c r="D306" t="inlineStr">
        <is>
          <t>16 a 17</t>
        </is>
      </c>
      <c r="E306" t="inlineStr">
        <is>
          <t>VMC</t>
        </is>
      </c>
      <c r="F306" t="inlineStr">
        <is>
          <t>ILIM</t>
        </is>
      </c>
      <c r="G306" t="n">
        <v>2100</v>
      </c>
      <c r="H306" t="inlineStr">
        <is>
          <t>NO</t>
        </is>
      </c>
      <c r="I306" t="inlineStr">
        <is>
          <t>SADM 131600Z 14009KT 9999 OVC021 10/05 Q1025</t>
        </is>
      </c>
      <c r="J306" t="inlineStr">
        <is>
          <t>s/d</t>
        </is>
      </c>
      <c r="K306" t="inlineStr">
        <is>
          <t>SADM 131600Z 14009KT 9999 OVC021 10/05 Q1025</t>
        </is>
      </c>
      <c r="L306" t="inlineStr">
        <is>
          <t>-</t>
        </is>
      </c>
    </row>
    <row r="307">
      <c r="A307" t="n">
        <v>4624717</v>
      </c>
      <c r="B307" s="126" t="n">
        <v>46247</v>
      </c>
      <c r="C307" t="n">
        <v>17</v>
      </c>
      <c r="D307" t="inlineStr">
        <is>
          <t>17 a 18</t>
        </is>
      </c>
      <c r="E307" t="inlineStr">
        <is>
          <t>VMC</t>
        </is>
      </c>
      <c r="F307" t="inlineStr">
        <is>
          <t>ILIM</t>
        </is>
      </c>
      <c r="G307" t="n">
        <v>2400</v>
      </c>
      <c r="H307" t="inlineStr">
        <is>
          <t>NO</t>
        </is>
      </c>
      <c r="I307" t="inlineStr">
        <is>
          <t>SADM 131700Z 14008KT 9999 OVC024 10/05 Q1025</t>
        </is>
      </c>
      <c r="J307" t="inlineStr">
        <is>
          <t>s/d</t>
        </is>
      </c>
      <c r="K307" t="inlineStr">
        <is>
          <t>SADM 131700Z 14008KT 9999 OVC024 10/05 Q1025</t>
        </is>
      </c>
      <c r="L307" t="inlineStr">
        <is>
          <t>-</t>
        </is>
      </c>
    </row>
    <row r="308">
      <c r="A308" t="n">
        <v>4624718</v>
      </c>
      <c r="B308" s="126" t="n">
        <v>46247</v>
      </c>
      <c r="C308" t="n">
        <v>18</v>
      </c>
      <c r="D308" t="inlineStr">
        <is>
          <t>18 a 19</t>
        </is>
      </c>
      <c r="E308" t="inlineStr">
        <is>
          <t>VMC</t>
        </is>
      </c>
      <c r="F308" t="inlineStr">
        <is>
          <t>ILIM</t>
        </is>
      </c>
      <c r="G308" t="n">
        <v>2300</v>
      </c>
      <c r="H308" t="inlineStr">
        <is>
          <t>NO</t>
        </is>
      </c>
      <c r="I308" t="inlineStr">
        <is>
          <t>SADM 131800Z 14008KT 9999 OVC023 10/05 Q1025</t>
        </is>
      </c>
      <c r="J308" t="inlineStr">
        <is>
          <t>s/d</t>
        </is>
      </c>
      <c r="K308" t="inlineStr">
        <is>
          <t>SADM 131800Z 14008KT 9999 OVC023 10/05 Q1025</t>
        </is>
      </c>
      <c r="L308" t="inlineStr">
        <is>
          <t>-</t>
        </is>
      </c>
    </row>
    <row r="309">
      <c r="A309" t="n">
        <v>4624719</v>
      </c>
      <c r="B309" s="126" t="n">
        <v>46247</v>
      </c>
      <c r="C309" t="n">
        <v>19</v>
      </c>
      <c r="D309" t="inlineStr">
        <is>
          <t>19 a 20</t>
        </is>
      </c>
      <c r="E309" t="inlineStr">
        <is>
          <t>VMC</t>
        </is>
      </c>
      <c r="F309" t="inlineStr">
        <is>
          <t>ILIM</t>
        </is>
      </c>
      <c r="G309" t="n">
        <v>2200</v>
      </c>
      <c r="H309" t="inlineStr">
        <is>
          <t>NO</t>
        </is>
      </c>
      <c r="I309" t="inlineStr">
        <is>
          <t>SADM 131900Z 14006KT 9999 BKN022 OVC100 10/06 Q1025</t>
        </is>
      </c>
      <c r="J309" t="inlineStr">
        <is>
          <t>s/d</t>
        </is>
      </c>
      <c r="K309" t="inlineStr">
        <is>
          <t>SADM 131900Z 14006KT 9999 BKN022 OVC100 10/06 Q1025</t>
        </is>
      </c>
      <c r="L309" t="inlineStr">
        <is>
          <t>-</t>
        </is>
      </c>
    </row>
    <row r="310">
      <c r="A310" t="n">
        <v>4624720</v>
      </c>
      <c r="B310" s="126" t="n">
        <v>46247</v>
      </c>
      <c r="C310" t="n">
        <v>20</v>
      </c>
      <c r="D310" t="inlineStr">
        <is>
          <t>20 a 21</t>
        </is>
      </c>
      <c r="E310" t="inlineStr">
        <is>
          <t>VMC</t>
        </is>
      </c>
      <c r="F310" t="n">
        <v>8000</v>
      </c>
      <c r="G310" t="n">
        <v>10000</v>
      </c>
      <c r="H310" t="inlineStr">
        <is>
          <t>NO</t>
        </is>
      </c>
      <c r="I310" t="inlineStr">
        <is>
          <t>SADM 132000Z 14007KT 8000 FEW019 OVC100 10/06 Q1026</t>
        </is>
      </c>
      <c r="J310" t="inlineStr">
        <is>
          <t>s/d</t>
        </is>
      </c>
      <c r="K310" t="inlineStr">
        <is>
          <t>SADM 132000Z 14007KT 8000 FEW019 OVC100 10/06 Q1026</t>
        </is>
      </c>
      <c r="L310" t="inlineStr">
        <is>
          <t>-</t>
        </is>
      </c>
    </row>
    <row r="311">
      <c r="A311" s="127" t="n">
        <v>4624721</v>
      </c>
      <c r="B311" s="128" t="n">
        <v>46247</v>
      </c>
      <c r="C311" s="127" t="n">
        <v>21</v>
      </c>
      <c r="D311" s="127" t="inlineStr">
        <is>
          <t>21 a 22</t>
        </is>
      </c>
      <c r="E311" s="127" t="inlineStr">
        <is>
          <t>IMC</t>
        </is>
      </c>
      <c r="F311" s="127" t="n">
        <v>3000</v>
      </c>
      <c r="G311" s="127" t="n">
        <v>5000</v>
      </c>
      <c r="H311" s="127" t="inlineStr">
        <is>
          <t>SI</t>
        </is>
      </c>
      <c r="I311" s="127" t="inlineStr">
        <is>
          <t>SADM 132100Z 14007KT 5000 -RA BR FEW018 OVC100 10/06 Q1026</t>
        </is>
      </c>
      <c r="J311" s="127" t="inlineStr">
        <is>
          <t>vis 3000 m</t>
        </is>
      </c>
      <c r="K311" s="127" t="inlineStr">
        <is>
          <t>SADM 132100Z 14007KT 5000 -RA BR FEW018 OVC100 10/06 Q1026 || SADM 132118Z 14004KT 3000 RA BR SCT030 OVC050 10/06 Q1026</t>
        </is>
      </c>
      <c r="L311" s="127" t="inlineStr">
        <is>
          <t>-</t>
        </is>
      </c>
    </row>
    <row r="312">
      <c r="A312" s="127" t="n">
        <v>4624722</v>
      </c>
      <c r="B312" s="128" t="n">
        <v>46247</v>
      </c>
      <c r="C312" s="127" t="n">
        <v>22</v>
      </c>
      <c r="D312" s="127" t="inlineStr">
        <is>
          <t>22 a 23</t>
        </is>
      </c>
      <c r="E312" s="127" t="inlineStr">
        <is>
          <t>IMC</t>
        </is>
      </c>
      <c r="F312" s="127" t="n">
        <v>3000</v>
      </c>
      <c r="G312" s="127" t="n">
        <v>5000</v>
      </c>
      <c r="H312" s="127" t="inlineStr">
        <is>
          <t>NO</t>
        </is>
      </c>
      <c r="I312" s="127" t="inlineStr">
        <is>
          <t>SADM 132200Z 14005KT 3000 -RA BR SCT037 OVC050 10/07 Q1026</t>
        </is>
      </c>
      <c r="J312" s="127" t="inlineStr">
        <is>
          <t>vis 3000 m</t>
        </is>
      </c>
      <c r="K312" s="127" t="inlineStr">
        <is>
          <t>SADM 132200Z 14005KT 3000 -RA BR SCT037 OVC050 10/07 Q1026</t>
        </is>
      </c>
      <c r="L312" s="127" t="inlineStr">
        <is>
          <t>-</t>
        </is>
      </c>
    </row>
    <row r="313">
      <c r="A313" t="n">
        <v>4624723</v>
      </c>
      <c r="B313" s="126" t="n">
        <v>46247</v>
      </c>
      <c r="C313" t="n">
        <v>23</v>
      </c>
      <c r="D313" t="inlineStr">
        <is>
          <t>23 a 00</t>
        </is>
      </c>
      <c r="E313" t="inlineStr">
        <is>
          <t>VMC</t>
        </is>
      </c>
      <c r="F313" t="n">
        <v>5000</v>
      </c>
      <c r="G313" t="n">
        <v>10000</v>
      </c>
      <c r="H313" t="inlineStr">
        <is>
          <t>NO</t>
        </is>
      </c>
      <c r="I313" t="inlineStr">
        <is>
          <t>SADM 132300Z 14005KT 5000 BR FEW015 OVC100 10/07 Q1026</t>
        </is>
      </c>
      <c r="J313" t="inlineStr">
        <is>
          <t>s/d</t>
        </is>
      </c>
      <c r="K313" t="inlineStr">
        <is>
          <t>SADM 132300Z 14005KT 5000 BR FEW015 OVC100 10/07 Q1026</t>
        </is>
      </c>
      <c r="L313" t="inlineStr">
        <is>
          <t>-</t>
        </is>
      </c>
    </row>
    <row r="314">
      <c r="A314" t="n">
        <v>4624800</v>
      </c>
      <c r="B314" s="126" t="n">
        <v>46248</v>
      </c>
      <c r="C314" t="n">
        <v>0</v>
      </c>
      <c r="D314" t="inlineStr">
        <is>
          <t>00 a 01</t>
        </is>
      </c>
      <c r="E314" t="inlineStr">
        <is>
          <t>VMC</t>
        </is>
      </c>
      <c r="F314" t="n">
        <v>5000</v>
      </c>
      <c r="G314" t="n">
        <v>10000</v>
      </c>
      <c r="H314" t="inlineStr">
        <is>
          <t>NO</t>
        </is>
      </c>
      <c r="I314" t="inlineStr">
        <is>
          <t>SADM 140000Z 11005KT 5000 -RA BR FEW015 OVC100 10/07 Q1026</t>
        </is>
      </c>
      <c r="J314" t="inlineStr">
        <is>
          <t>s/d</t>
        </is>
      </c>
      <c r="K314" t="inlineStr">
        <is>
          <t>SADM 140000Z 11005KT 5000 -RA BR FEW015 OVC100 10/07 Q1026</t>
        </is>
      </c>
      <c r="L314" t="inlineStr">
        <is>
          <t>-</t>
        </is>
      </c>
    </row>
    <row r="315">
      <c r="A315" t="n">
        <v>4624801</v>
      </c>
      <c r="B315" s="126" t="n">
        <v>46248</v>
      </c>
      <c r="C315" t="n">
        <v>1</v>
      </c>
      <c r="D315" t="inlineStr">
        <is>
          <t>01 a 02</t>
        </is>
      </c>
      <c r="E315" t="inlineStr">
        <is>
          <t>VMC</t>
        </is>
      </c>
      <c r="F315" t="n">
        <v>8000</v>
      </c>
      <c r="G315" t="n">
        <v>10000</v>
      </c>
      <c r="H315" t="inlineStr">
        <is>
          <t>NO</t>
        </is>
      </c>
      <c r="I315" t="inlineStr">
        <is>
          <t>SADM 140100Z 11005KT 8000 FEW015 OVC100 10/07 Q1026</t>
        </is>
      </c>
      <c r="J315" t="inlineStr">
        <is>
          <t>s/d</t>
        </is>
      </c>
      <c r="K315" t="inlineStr">
        <is>
          <t>SADM 140100Z 11005KT 8000 FEW015 OVC100 10/07 Q1026</t>
        </is>
      </c>
      <c r="L315" t="inlineStr">
        <is>
          <t>-</t>
        </is>
      </c>
    </row>
    <row r="316">
      <c r="A316" t="n">
        <v>4624802</v>
      </c>
      <c r="B316" s="126" t="n">
        <v>46248</v>
      </c>
      <c r="C316" t="n">
        <v>2</v>
      </c>
      <c r="D316" t="inlineStr">
        <is>
          <t>02 a 03</t>
        </is>
      </c>
      <c r="E316" t="inlineStr">
        <is>
          <t>VMC</t>
        </is>
      </c>
      <c r="F316" t="n">
        <v>8000</v>
      </c>
      <c r="G316" t="n">
        <v>10000</v>
      </c>
      <c r="H316" t="inlineStr">
        <is>
          <t>NO</t>
        </is>
      </c>
      <c r="I316" t="inlineStr">
        <is>
          <t>SADM 140200Z 09003KT 8000 FEW019 OVC100 10/08 Q1026</t>
        </is>
      </c>
      <c r="J316" t="inlineStr">
        <is>
          <t>s/d</t>
        </is>
      </c>
      <c r="K316" t="inlineStr">
        <is>
          <t>SADM 140200Z 09003KT 8000 FEW019 OVC100 10/08 Q1026</t>
        </is>
      </c>
      <c r="L316" t="inlineStr">
        <is>
          <t>-</t>
        </is>
      </c>
    </row>
    <row r="317">
      <c r="A317" t="n">
        <v>4624803</v>
      </c>
      <c r="B317" s="126" t="n">
        <v>46248</v>
      </c>
      <c r="C317" t="n">
        <v>3</v>
      </c>
      <c r="D317" t="inlineStr">
        <is>
          <t>03 a 04</t>
        </is>
      </c>
      <c r="E317" t="inlineStr">
        <is>
          <t>VMC</t>
        </is>
      </c>
      <c r="F317" t="n">
        <v>8000</v>
      </c>
      <c r="G317" t="n">
        <v>10000</v>
      </c>
      <c r="H317" t="inlineStr">
        <is>
          <t>NO</t>
        </is>
      </c>
      <c r="I317" t="inlineStr">
        <is>
          <t>SADM 140300Z 11002KT 8000 FEW018 OVC100 10/07 Q1026</t>
        </is>
      </c>
      <c r="J317" t="inlineStr">
        <is>
          <t>s/d</t>
        </is>
      </c>
      <c r="K317" t="inlineStr">
        <is>
          <t>SADM 140300Z 11002KT 8000 FEW018 OVC100 10/07 Q1026</t>
        </is>
      </c>
      <c r="L317" t="inlineStr">
        <is>
          <t>-</t>
        </is>
      </c>
    </row>
    <row r="318">
      <c r="A318" t="n">
        <v>4624804</v>
      </c>
      <c r="B318" s="126" t="n">
        <v>46248</v>
      </c>
      <c r="C318" t="n">
        <v>4</v>
      </c>
      <c r="D318" t="inlineStr">
        <is>
          <t>04 a 05</t>
        </is>
      </c>
      <c r="E318" t="inlineStr">
        <is>
          <t>VMC</t>
        </is>
      </c>
      <c r="F318" t="n">
        <v>8000</v>
      </c>
      <c r="G318" t="inlineStr">
        <is>
          <t>ILIM</t>
        </is>
      </c>
      <c r="H318" t="inlineStr">
        <is>
          <t>NO</t>
        </is>
      </c>
      <c r="I318" t="inlineStr">
        <is>
          <t>SADM 140400Z 11004KT 8000 NSC 10/07 Q1026</t>
        </is>
      </c>
      <c r="J318" t="inlineStr">
        <is>
          <t>s/d</t>
        </is>
      </c>
      <c r="K318" t="inlineStr">
        <is>
          <t>SADM 140400Z 11004KT 8000 NSC 10/07 Q1026</t>
        </is>
      </c>
      <c r="L318" t="inlineStr">
        <is>
          <t>-</t>
        </is>
      </c>
    </row>
    <row r="319">
      <c r="A319" t="n">
        <v>4624805</v>
      </c>
      <c r="B319" s="126" t="n">
        <v>46248</v>
      </c>
      <c r="C319" t="n">
        <v>5</v>
      </c>
      <c r="D319" t="inlineStr">
        <is>
          <t>05 a 06</t>
        </is>
      </c>
      <c r="E319" t="inlineStr">
        <is>
          <t>VMC</t>
        </is>
      </c>
      <c r="F319" t="n">
        <v>8000</v>
      </c>
      <c r="G319" t="n">
        <v>10000</v>
      </c>
      <c r="H319" t="inlineStr">
        <is>
          <t>NO</t>
        </is>
      </c>
      <c r="I319" t="inlineStr">
        <is>
          <t>SADM 140500Z 14006KT 8000 SCT035 OVC100 10/08 Q1025</t>
        </is>
      </c>
      <c r="J319" t="inlineStr">
        <is>
          <t>s/d</t>
        </is>
      </c>
      <c r="K319" t="inlineStr">
        <is>
          <t>SADM 140500Z 14006KT 8000 SCT035 OVC100 10/08 Q1025</t>
        </is>
      </c>
      <c r="L319" t="inlineStr">
        <is>
          <t>-</t>
        </is>
      </c>
    </row>
    <row r="320">
      <c r="A320" t="n">
        <v>4624806</v>
      </c>
      <c r="B320" s="126" t="n">
        <v>46248</v>
      </c>
      <c r="C320" t="n">
        <v>6</v>
      </c>
      <c r="D320" t="inlineStr">
        <is>
          <t>06 a 07</t>
        </is>
      </c>
      <c r="E320" t="inlineStr">
        <is>
          <t>VMC</t>
        </is>
      </c>
      <c r="F320" t="n">
        <v>8000</v>
      </c>
      <c r="G320" t="n">
        <v>4900</v>
      </c>
      <c r="H320" t="inlineStr">
        <is>
          <t>NO</t>
        </is>
      </c>
      <c r="I320" t="inlineStr">
        <is>
          <t>SADM 140600Z 09002KT 8000 BKN049 OVC100 10/08 Q1025</t>
        </is>
      </c>
      <c r="J320" t="inlineStr">
        <is>
          <t>s/d</t>
        </is>
      </c>
      <c r="K320" t="inlineStr">
        <is>
          <t>SADM 140600Z 09002KT 8000 BKN049 OVC100 10/08 Q1025</t>
        </is>
      </c>
      <c r="L320" t="inlineStr">
        <is>
          <t>-</t>
        </is>
      </c>
    </row>
    <row r="321">
      <c r="A321" s="127" t="n">
        <v>4624807</v>
      </c>
      <c r="B321" s="128" t="n">
        <v>46248</v>
      </c>
      <c r="C321" s="127" t="n">
        <v>7</v>
      </c>
      <c r="D321" s="127" t="inlineStr">
        <is>
          <t>07 a 08</t>
        </is>
      </c>
      <c r="E321" s="127" t="inlineStr">
        <is>
          <t>IMC</t>
        </is>
      </c>
      <c r="F321" s="127" t="n">
        <v>4000</v>
      </c>
      <c r="G321" s="127" t="n">
        <v>1000</v>
      </c>
      <c r="H321" s="127" t="inlineStr">
        <is>
          <t>NO</t>
        </is>
      </c>
      <c r="I321" s="127" t="inlineStr">
        <is>
          <t>SADM 140700Z 09002KT 4000 -DZ BR BKN010 OVC100 10/08 Q1025</t>
        </is>
      </c>
      <c r="J321" s="127" t="inlineStr">
        <is>
          <t>vis 4000 m + techo 1000 ft</t>
        </is>
      </c>
      <c r="K321" s="127" t="inlineStr">
        <is>
          <t>SADM 140700Z 09002KT 4000 -DZ BR BKN010 OVC100 10/08 Q1025</t>
        </is>
      </c>
      <c r="L321" s="127" t="inlineStr">
        <is>
          <t>-</t>
        </is>
      </c>
    </row>
    <row r="322">
      <c r="A322" s="127" t="n">
        <v>4624808</v>
      </c>
      <c r="B322" s="128" t="n">
        <v>46248</v>
      </c>
      <c r="C322" s="127" t="n">
        <v>8</v>
      </c>
      <c r="D322" s="127" t="inlineStr">
        <is>
          <t>08 a 09</t>
        </is>
      </c>
      <c r="E322" s="127" t="inlineStr">
        <is>
          <t>IMC</t>
        </is>
      </c>
      <c r="F322" s="127" t="n">
        <v>2500</v>
      </c>
      <c r="G322" s="127" t="n">
        <v>1000</v>
      </c>
      <c r="H322" s="127" t="inlineStr">
        <is>
          <t>NO</t>
        </is>
      </c>
      <c r="I322" s="127" t="inlineStr">
        <is>
          <t>SADM 140800Z 05004KT 2500 -DZ BR BKN010 OVC100 10/08 Q1025</t>
        </is>
      </c>
      <c r="J322" s="127" t="inlineStr">
        <is>
          <t>vis 2500 m + techo 1000 ft</t>
        </is>
      </c>
      <c r="K322" s="127" t="inlineStr">
        <is>
          <t>SADM 140800Z 05004KT 2500 -DZ BR BKN010 OVC100 10/08 Q1025</t>
        </is>
      </c>
      <c r="L322" s="127" t="inlineStr">
        <is>
          <t>-</t>
        </is>
      </c>
    </row>
    <row r="323">
      <c r="A323" s="127" t="n">
        <v>4624809</v>
      </c>
      <c r="B323" s="128" t="n">
        <v>46248</v>
      </c>
      <c r="C323" s="127" t="n">
        <v>9</v>
      </c>
      <c r="D323" s="127" t="inlineStr">
        <is>
          <t>09 a 10</t>
        </is>
      </c>
      <c r="E323" s="127" t="inlineStr">
        <is>
          <t>IMC</t>
        </is>
      </c>
      <c r="F323" s="127" t="n">
        <v>4000</v>
      </c>
      <c r="G323" s="127" t="n">
        <v>1000</v>
      </c>
      <c r="H323" s="127" t="inlineStr">
        <is>
          <t>NO</t>
        </is>
      </c>
      <c r="I323" s="127" t="inlineStr">
        <is>
          <t>SADM 140900Z 09004KT 4000 BR BKN010 OVC020 10/09 Q1025</t>
        </is>
      </c>
      <c r="J323" s="127" t="inlineStr">
        <is>
          <t>vis 4000 m + techo 1000 ft</t>
        </is>
      </c>
      <c r="K323" s="127" t="inlineStr">
        <is>
          <t>SADM 140900Z 09004KT 4000 BR BKN010 OVC020 10/09 Q1025</t>
        </is>
      </c>
      <c r="L323" s="127" t="inlineStr">
        <is>
          <t>-</t>
        </is>
      </c>
    </row>
    <row r="324">
      <c r="A324" s="127" t="n">
        <v>4624810</v>
      </c>
      <c r="B324" s="128" t="n">
        <v>46248</v>
      </c>
      <c r="C324" s="127" t="n">
        <v>10</v>
      </c>
      <c r="D324" s="127" t="inlineStr">
        <is>
          <t>10 a 11</t>
        </is>
      </c>
      <c r="E324" s="127" t="inlineStr">
        <is>
          <t>IMC</t>
        </is>
      </c>
      <c r="F324" s="127" t="n">
        <v>4000</v>
      </c>
      <c r="G324" s="127" t="n">
        <v>1000</v>
      </c>
      <c r="H324" s="127" t="inlineStr">
        <is>
          <t>NO</t>
        </is>
      </c>
      <c r="I324" s="127" t="inlineStr">
        <is>
          <t>SADM 141000Z 07004KT 4000 BR BKN010 OVC028 11/08 Q1025</t>
        </is>
      </c>
      <c r="J324" s="127" t="inlineStr">
        <is>
          <t>vis 4000 m + techo 1000 ft</t>
        </is>
      </c>
      <c r="K324" s="127" t="inlineStr">
        <is>
          <t>SADM 141000Z 07004KT 4000 BR BKN010 OVC028 11/08 Q1025</t>
        </is>
      </c>
      <c r="L324" s="127" t="inlineStr">
        <is>
          <t>-</t>
        </is>
      </c>
    </row>
    <row r="325">
      <c r="A325" s="127" t="n">
        <v>4624811</v>
      </c>
      <c r="B325" s="128" t="n">
        <v>46248</v>
      </c>
      <c r="C325" s="127" t="n">
        <v>11</v>
      </c>
      <c r="D325" s="127" t="inlineStr">
        <is>
          <t>11 a 12</t>
        </is>
      </c>
      <c r="E325" s="127" t="inlineStr">
        <is>
          <t>IMC</t>
        </is>
      </c>
      <c r="F325" s="127" t="n">
        <v>4000</v>
      </c>
      <c r="G325" s="127" t="n">
        <v>800</v>
      </c>
      <c r="H325" s="127" t="inlineStr">
        <is>
          <t>NO</t>
        </is>
      </c>
      <c r="I325" s="127" t="inlineStr">
        <is>
          <t>SADM 141100Z 07006KT 4000 -DZ BKN008 OVC014 11/09 Q1025</t>
        </is>
      </c>
      <c r="J325" s="127" t="inlineStr">
        <is>
          <t>vis 4000 m + techo 800 ft</t>
        </is>
      </c>
      <c r="K325" s="127" t="inlineStr">
        <is>
          <t>SADM 141100Z 07006KT 4000 -DZ BKN008 OVC014 11/09 Q1025</t>
        </is>
      </c>
      <c r="L325" s="127" t="inlineStr">
        <is>
          <t>-</t>
        </is>
      </c>
    </row>
    <row r="326">
      <c r="A326" s="127" t="n">
        <v>4624812</v>
      </c>
      <c r="B326" s="128" t="n">
        <v>46248</v>
      </c>
      <c r="C326" s="127" t="n">
        <v>12</v>
      </c>
      <c r="D326" s="127" t="inlineStr">
        <is>
          <t>12 a 13</t>
        </is>
      </c>
      <c r="E326" s="127" t="inlineStr">
        <is>
          <t>IMC</t>
        </is>
      </c>
      <c r="F326" s="127" t="n">
        <v>3000</v>
      </c>
      <c r="G326" s="127" t="n">
        <v>700</v>
      </c>
      <c r="H326" s="127" t="inlineStr">
        <is>
          <t>NO</t>
        </is>
      </c>
      <c r="I326" s="127" t="inlineStr">
        <is>
          <t>SADM 141200Z 07007KT 3000 -DZ OVC007 11/09 Q1025</t>
        </is>
      </c>
      <c r="J326" s="127" t="inlineStr">
        <is>
          <t>vis 3000 m + techo 700 ft</t>
        </is>
      </c>
      <c r="K326" s="127" t="inlineStr">
        <is>
          <t>SADM 141200Z 07007KT 3000 -DZ OVC007 11/09 Q1025</t>
        </is>
      </c>
      <c r="L326" s="127" t="inlineStr">
        <is>
          <t>-</t>
        </is>
      </c>
    </row>
    <row r="327">
      <c r="A327" s="127" t="n">
        <v>4624813</v>
      </c>
      <c r="B327" s="128" t="n">
        <v>46248</v>
      </c>
      <c r="C327" s="127" t="n">
        <v>13</v>
      </c>
      <c r="D327" s="127" t="inlineStr">
        <is>
          <t>13 a 14</t>
        </is>
      </c>
      <c r="E327" s="127" t="inlineStr">
        <is>
          <t>IMC</t>
        </is>
      </c>
      <c r="F327" s="127" t="n">
        <v>3000</v>
      </c>
      <c r="G327" s="127" t="n">
        <v>700</v>
      </c>
      <c r="H327" s="127" t="inlineStr">
        <is>
          <t>NO</t>
        </is>
      </c>
      <c r="I327" s="127" t="inlineStr">
        <is>
          <t>SADM 141300Z 07007KT 3000 -DZ OVC007 11/10 Q1025</t>
        </is>
      </c>
      <c r="J327" s="127" t="inlineStr">
        <is>
          <t>vis 3000 m + techo 700 ft</t>
        </is>
      </c>
      <c r="K327" s="127" t="inlineStr">
        <is>
          <t>SADM 141300Z 07007KT 3000 -DZ OVC007 11/10 Q1025</t>
        </is>
      </c>
      <c r="L327" s="127" t="inlineStr">
        <is>
          <t>-</t>
        </is>
      </c>
    </row>
    <row r="328">
      <c r="A328" s="127" t="n">
        <v>4624814</v>
      </c>
      <c r="B328" s="128" t="n">
        <v>46248</v>
      </c>
      <c r="C328" s="127" t="n">
        <v>14</v>
      </c>
      <c r="D328" s="127" t="inlineStr">
        <is>
          <t>14 a 15</t>
        </is>
      </c>
      <c r="E328" s="127" t="inlineStr">
        <is>
          <t>IMC</t>
        </is>
      </c>
      <c r="F328" s="127" t="n">
        <v>2000</v>
      </c>
      <c r="G328" s="127" t="n">
        <v>800</v>
      </c>
      <c r="H328" s="127" t="inlineStr">
        <is>
          <t>NO</t>
        </is>
      </c>
      <c r="I328" s="127" t="inlineStr">
        <is>
          <t>SADM 141400Z 07008KT 2000 DZ BR OVC008 11/10 Q1025</t>
        </is>
      </c>
      <c r="J328" s="127" t="inlineStr">
        <is>
          <t>vis 2000 m + techo 800 ft</t>
        </is>
      </c>
      <c r="K328" s="127" t="inlineStr">
        <is>
          <t>SADM 141400Z 07008KT 2000 DZ BR OVC008 11/10 Q1025</t>
        </is>
      </c>
      <c r="L328" s="127" t="inlineStr">
        <is>
          <t>-</t>
        </is>
      </c>
    </row>
    <row r="329">
      <c r="A329" s="127" t="n">
        <v>4624815</v>
      </c>
      <c r="B329" s="128" t="n">
        <v>46248</v>
      </c>
      <c r="C329" s="127" t="n">
        <v>15</v>
      </c>
      <c r="D329" s="127" t="inlineStr">
        <is>
          <t>15 a 16</t>
        </is>
      </c>
      <c r="E329" s="127" t="inlineStr">
        <is>
          <t>IMC</t>
        </is>
      </c>
      <c r="F329" s="127" t="n">
        <v>3000</v>
      </c>
      <c r="G329" s="127" t="n">
        <v>800</v>
      </c>
      <c r="H329" s="127" t="inlineStr">
        <is>
          <t>NO</t>
        </is>
      </c>
      <c r="I329" s="127" t="inlineStr">
        <is>
          <t>SADM 141500Z 07007KT 3000 -DZ BR OVC008 12/10 Q1024</t>
        </is>
      </c>
      <c r="J329" s="127" t="inlineStr">
        <is>
          <t>vis 3000 m + techo 800 ft</t>
        </is>
      </c>
      <c r="K329" s="127" t="inlineStr">
        <is>
          <t>SADM 141500Z 07007KT 3000 -DZ BR OVC008 12/10 Q1024</t>
        </is>
      </c>
      <c r="L329" s="127" t="inlineStr">
        <is>
          <t>-</t>
        </is>
      </c>
    </row>
    <row r="330">
      <c r="A330" s="127" t="n">
        <v>4624816</v>
      </c>
      <c r="B330" s="128" t="n">
        <v>46248</v>
      </c>
      <c r="C330" s="127" t="n">
        <v>16</v>
      </c>
      <c r="D330" s="127" t="inlineStr">
        <is>
          <t>16 a 17</t>
        </is>
      </c>
      <c r="E330" s="127" t="inlineStr">
        <is>
          <t>IMC</t>
        </is>
      </c>
      <c r="F330" s="127" t="n">
        <v>2000</v>
      </c>
      <c r="G330" s="127" t="n">
        <v>800</v>
      </c>
      <c r="H330" s="127" t="inlineStr">
        <is>
          <t>NO</t>
        </is>
      </c>
      <c r="I330" s="127" t="inlineStr">
        <is>
          <t>SADM 141600Z 05006KT 2000 DZ BR OVC008 12/11 Q1024</t>
        </is>
      </c>
      <c r="J330" s="127" t="inlineStr">
        <is>
          <t>vis 2000 m + techo 800 ft</t>
        </is>
      </c>
      <c r="K330" s="127" t="inlineStr">
        <is>
          <t>SADM 141600Z 05006KT 2000 DZ BR OVC008 12/11 Q1024</t>
        </is>
      </c>
      <c r="L330" s="127" t="inlineStr">
        <is>
          <t>-</t>
        </is>
      </c>
    </row>
    <row r="331">
      <c r="A331" s="127" t="n">
        <v>4624817</v>
      </c>
      <c r="B331" s="128" t="n">
        <v>46248</v>
      </c>
      <c r="C331" s="127" t="n">
        <v>17</v>
      </c>
      <c r="D331" s="127" t="inlineStr">
        <is>
          <t>17 a 18</t>
        </is>
      </c>
      <c r="E331" s="127" t="inlineStr">
        <is>
          <t>IMC</t>
        </is>
      </c>
      <c r="F331" s="127" t="n">
        <v>3000</v>
      </c>
      <c r="G331" s="127" t="n">
        <v>800</v>
      </c>
      <c r="H331" s="127" t="inlineStr">
        <is>
          <t>NO</t>
        </is>
      </c>
      <c r="I331" s="127" t="inlineStr">
        <is>
          <t>SADM 141700Z 05005KT 3000 -DZ BR OVC008 12/11 Q1023</t>
        </is>
      </c>
      <c r="J331" s="127" t="inlineStr">
        <is>
          <t>vis 3000 m + techo 800 ft</t>
        </is>
      </c>
      <c r="K331" s="127" t="inlineStr">
        <is>
          <t>SADM 141700Z 05005KT 3000 -DZ BR OVC008 12/11 Q1023</t>
        </is>
      </c>
      <c r="L331" s="127" t="inlineStr">
        <is>
          <t>-</t>
        </is>
      </c>
    </row>
    <row r="332">
      <c r="A332" s="127" t="n">
        <v>4624818</v>
      </c>
      <c r="B332" s="128" t="n">
        <v>46248</v>
      </c>
      <c r="C332" s="127" t="n">
        <v>18</v>
      </c>
      <c r="D332" s="127" t="inlineStr">
        <is>
          <t>18 a 19</t>
        </is>
      </c>
      <c r="E332" s="127" t="inlineStr">
        <is>
          <t>IMC</t>
        </is>
      </c>
      <c r="F332" s="127" t="n">
        <v>2000</v>
      </c>
      <c r="G332" s="127" t="n">
        <v>400</v>
      </c>
      <c r="H332" s="127" t="inlineStr">
        <is>
          <t>NO</t>
        </is>
      </c>
      <c r="I332" s="127" t="inlineStr">
        <is>
          <t>SADM 141800Z 07005KT 2000 -DZ BR OVC004 12/11 Q1022</t>
        </is>
      </c>
      <c r="J332" s="127" t="inlineStr">
        <is>
          <t>vis 2000 m + techo 400 ft</t>
        </is>
      </c>
      <c r="K332" s="127" t="inlineStr">
        <is>
          <t>SADM 141800Z 07005KT 2000 -DZ BR OVC004 12/11 Q1022</t>
        </is>
      </c>
      <c r="L332" s="127" t="inlineStr">
        <is>
          <t>-</t>
        </is>
      </c>
    </row>
    <row r="333">
      <c r="A333" s="127" t="n">
        <v>4624819</v>
      </c>
      <c r="B333" s="128" t="n">
        <v>46248</v>
      </c>
      <c r="C333" s="127" t="n">
        <v>19</v>
      </c>
      <c r="D333" s="127" t="inlineStr">
        <is>
          <t>19 a 20</t>
        </is>
      </c>
      <c r="E333" s="127" t="inlineStr">
        <is>
          <t>IMC</t>
        </is>
      </c>
      <c r="F333" s="127" t="n">
        <v>2000</v>
      </c>
      <c r="G333" s="127" t="n">
        <v>600</v>
      </c>
      <c r="H333" s="127" t="inlineStr">
        <is>
          <t>NO</t>
        </is>
      </c>
      <c r="I333" s="127" t="inlineStr">
        <is>
          <t>SADM 141900Z 07004KT 2000 -DZ BR BKN006 OVC012 12/12 Q1022</t>
        </is>
      </c>
      <c r="J333" s="127" t="inlineStr">
        <is>
          <t>vis 2000 m + techo 600 ft</t>
        </is>
      </c>
      <c r="K333" s="127" t="inlineStr">
        <is>
          <t>SADM 141900Z 07004KT 2000 -DZ BR BKN006 OVC012 12/12 Q1022</t>
        </is>
      </c>
      <c r="L333" s="127" t="inlineStr">
        <is>
          <t>-</t>
        </is>
      </c>
    </row>
    <row r="334">
      <c r="A334" s="127" t="n">
        <v>4624820</v>
      </c>
      <c r="B334" s="128" t="n">
        <v>46248</v>
      </c>
      <c r="C334" s="127" t="n">
        <v>20</v>
      </c>
      <c r="D334" s="127" t="inlineStr">
        <is>
          <t>20 a 21</t>
        </is>
      </c>
      <c r="E334" s="127" t="inlineStr">
        <is>
          <t>IMC</t>
        </is>
      </c>
      <c r="F334" s="127" t="n">
        <v>2000</v>
      </c>
      <c r="G334" s="127" t="n">
        <v>400</v>
      </c>
      <c r="H334" s="127" t="inlineStr">
        <is>
          <t>NO</t>
        </is>
      </c>
      <c r="I334" s="127" t="inlineStr">
        <is>
          <t>SADM 142000Z 09005KT 2000 -DZ BR OVC004 12/11 Q1022</t>
        </is>
      </c>
      <c r="J334" s="127" t="inlineStr">
        <is>
          <t>vis 2000 m + techo 400 ft</t>
        </is>
      </c>
      <c r="K334" s="127" t="inlineStr">
        <is>
          <t>SADM 142000Z 09005KT 2000 -DZ BR OVC004 12/11 Q1022</t>
        </is>
      </c>
      <c r="L334" s="127" t="inlineStr">
        <is>
          <t>-</t>
        </is>
      </c>
    </row>
    <row r="335">
      <c r="A335" s="127" t="n">
        <v>4624821</v>
      </c>
      <c r="B335" s="128" t="n">
        <v>46248</v>
      </c>
      <c r="C335" s="127" t="n">
        <v>21</v>
      </c>
      <c r="D335" s="127" t="inlineStr">
        <is>
          <t>21 a 22</t>
        </is>
      </c>
      <c r="E335" s="127" t="inlineStr">
        <is>
          <t>IMC</t>
        </is>
      </c>
      <c r="F335" s="127" t="n">
        <v>2000</v>
      </c>
      <c r="G335" s="127" t="n">
        <v>800</v>
      </c>
      <c r="H335" s="127" t="inlineStr">
        <is>
          <t>NO</t>
        </is>
      </c>
      <c r="I335" s="127" t="inlineStr">
        <is>
          <t>SADM 142100Z 09005KT 2000 -DZ BR OVC008 12/11 Q1022</t>
        </is>
      </c>
      <c r="J335" s="127" t="inlineStr">
        <is>
          <t>vis 2000 m + techo 800 ft</t>
        </is>
      </c>
      <c r="K335" s="127" t="inlineStr">
        <is>
          <t>SADM 142100Z 09005KT 2000 -DZ BR OVC008 12/11 Q1022</t>
        </is>
      </c>
      <c r="L335" s="127" t="inlineStr">
        <is>
          <t>-</t>
        </is>
      </c>
    </row>
    <row r="336">
      <c r="A336" s="127" t="n">
        <v>4624822</v>
      </c>
      <c r="B336" s="128" t="n">
        <v>46248</v>
      </c>
      <c r="C336" s="127" t="n">
        <v>22</v>
      </c>
      <c r="D336" s="127" t="inlineStr">
        <is>
          <t>22 a 23</t>
        </is>
      </c>
      <c r="E336" s="127" t="inlineStr">
        <is>
          <t>IMC</t>
        </is>
      </c>
      <c r="F336" s="127" t="n">
        <v>4000</v>
      </c>
      <c r="G336" s="127" t="n">
        <v>600</v>
      </c>
      <c r="H336" s="127" t="inlineStr">
        <is>
          <t>NO</t>
        </is>
      </c>
      <c r="I336" s="127" t="inlineStr">
        <is>
          <t>SADM 142200Z 09006KT 4000 BR OVC006 12/12 Q1021</t>
        </is>
      </c>
      <c r="J336" s="127" t="inlineStr">
        <is>
          <t>vis 4000 m + techo 600 ft</t>
        </is>
      </c>
      <c r="K336" s="127" t="inlineStr">
        <is>
          <t>SADM 142200Z 09006KT 4000 BR OVC006 12/12 Q1021</t>
        </is>
      </c>
      <c r="L336" s="127" t="inlineStr">
        <is>
          <t>-</t>
        </is>
      </c>
    </row>
    <row r="337">
      <c r="A337" t="n">
        <v>4624823</v>
      </c>
      <c r="B337" s="126" t="n">
        <v>46248</v>
      </c>
      <c r="C337" t="n">
        <v>23</v>
      </c>
      <c r="D337" t="inlineStr">
        <is>
          <t>23 a 00</t>
        </is>
      </c>
      <c r="E337" t="inlineStr">
        <is>
          <t>VMC</t>
        </is>
      </c>
      <c r="F337" t="inlineStr">
        <is>
          <t>ILIM</t>
        </is>
      </c>
      <c r="G337" t="inlineStr">
        <is>
          <t>ILIM</t>
        </is>
      </c>
      <c r="H337" t="inlineStr">
        <is>
          <t>NO</t>
        </is>
      </c>
      <c r="I337" t="inlineStr">
        <is>
          <t>SADM 142300Z 09004KT 9999 FEW007 SCT023 13/10 Q1022</t>
        </is>
      </c>
      <c r="J337" t="inlineStr">
        <is>
          <t>s/d</t>
        </is>
      </c>
      <c r="K337" t="inlineStr">
        <is>
          <t>SADM 142300Z 09004KT 9999 FEW007 SCT023 13/10 Q1022</t>
        </is>
      </c>
      <c r="L337" t="inlineStr">
        <is>
          <t>-</t>
        </is>
      </c>
    </row>
    <row r="338">
      <c r="A338" t="n">
        <v>4624900</v>
      </c>
      <c r="B338" s="126" t="n">
        <v>46249</v>
      </c>
      <c r="C338" t="n">
        <v>0</v>
      </c>
      <c r="D338" t="inlineStr">
        <is>
          <t>00 a 01</t>
        </is>
      </c>
      <c r="E338" t="inlineStr">
        <is>
          <t>VMC</t>
        </is>
      </c>
      <c r="F338" t="inlineStr">
        <is>
          <t>ILIM</t>
        </is>
      </c>
      <c r="G338" t="n">
        <v>2600</v>
      </c>
      <c r="H338" t="inlineStr">
        <is>
          <t>NO</t>
        </is>
      </c>
      <c r="I338" t="inlineStr">
        <is>
          <t>SADM 150000Z 07003KT 9999 OVC026 12/11 Q1022</t>
        </is>
      </c>
      <c r="J338" t="inlineStr">
        <is>
          <t>s/d</t>
        </is>
      </c>
      <c r="K338" t="inlineStr">
        <is>
          <t>SADM 150000Z 07003KT 9999 OVC026 12/11 Q1022</t>
        </is>
      </c>
      <c r="L338" t="inlineStr">
        <is>
          <t>-</t>
        </is>
      </c>
    </row>
    <row r="339">
      <c r="A339" t="n">
        <v>4624901</v>
      </c>
      <c r="B339" s="126" t="n">
        <v>46249</v>
      </c>
      <c r="C339" t="n">
        <v>1</v>
      </c>
      <c r="D339" t="inlineStr">
        <is>
          <t>01 a 02</t>
        </is>
      </c>
      <c r="E339" t="inlineStr">
        <is>
          <t>VMC</t>
        </is>
      </c>
      <c r="F339" t="inlineStr">
        <is>
          <t>ILIM</t>
        </is>
      </c>
      <c r="G339" t="inlineStr">
        <is>
          <t>ILIM</t>
        </is>
      </c>
      <c r="H339" t="inlineStr">
        <is>
          <t>NO</t>
        </is>
      </c>
      <c r="I339" t="inlineStr">
        <is>
          <t>SADM 150100Z 09005KT 9999 SCT041 13/11 Q1021</t>
        </is>
      </c>
      <c r="J339" t="inlineStr">
        <is>
          <t>s/d</t>
        </is>
      </c>
      <c r="K339" t="inlineStr">
        <is>
          <t>SADM 150100Z 09005KT 9999 SCT041 13/11 Q1021</t>
        </is>
      </c>
      <c r="L339" t="inlineStr">
        <is>
          <t>-</t>
        </is>
      </c>
    </row>
    <row r="340">
      <c r="A340" t="n">
        <v>4624902</v>
      </c>
      <c r="B340" s="126" t="n">
        <v>46249</v>
      </c>
      <c r="C340" t="n">
        <v>2</v>
      </c>
      <c r="D340" t="inlineStr">
        <is>
          <t>02 a 03</t>
        </is>
      </c>
      <c r="E340" t="inlineStr">
        <is>
          <t>VMC</t>
        </is>
      </c>
      <c r="F340" t="inlineStr">
        <is>
          <t>ILIM</t>
        </is>
      </c>
      <c r="G340" t="n">
        <v>4000</v>
      </c>
      <c r="H340" t="inlineStr">
        <is>
          <t>NO</t>
        </is>
      </c>
      <c r="I340" t="inlineStr">
        <is>
          <t>SADM 150200Z 09005KT 9999 OVC040 12/11 Q1021</t>
        </is>
      </c>
      <c r="J340" t="inlineStr">
        <is>
          <t>s/d</t>
        </is>
      </c>
      <c r="K340" t="inlineStr">
        <is>
          <t>SADM 150200Z 09005KT 9999 OVC040 12/11 Q1021</t>
        </is>
      </c>
      <c r="L340" t="inlineStr">
        <is>
          <t>-</t>
        </is>
      </c>
    </row>
    <row r="341">
      <c r="A341" t="n">
        <v>4624903</v>
      </c>
      <c r="B341" s="126" t="n">
        <v>46249</v>
      </c>
      <c r="C341" t="n">
        <v>3</v>
      </c>
      <c r="D341" t="inlineStr">
        <is>
          <t>03 a 04</t>
        </is>
      </c>
      <c r="E341" t="inlineStr">
        <is>
          <t>VMC</t>
        </is>
      </c>
      <c r="F341" t="inlineStr">
        <is>
          <t>ILIM</t>
        </is>
      </c>
      <c r="G341" t="n">
        <v>4700</v>
      </c>
      <c r="H341" t="inlineStr">
        <is>
          <t>NO</t>
        </is>
      </c>
      <c r="I341" t="inlineStr">
        <is>
          <t>SADM 150300Z 09003KT 9999 BKN047 13/12 Q1021</t>
        </is>
      </c>
      <c r="J341" t="inlineStr">
        <is>
          <t>s/d</t>
        </is>
      </c>
      <c r="K341" t="inlineStr">
        <is>
          <t>SADM 150300Z 09003KT 9999 BKN047 13/12 Q1021</t>
        </is>
      </c>
      <c r="L341" t="inlineStr">
        <is>
          <t>-</t>
        </is>
      </c>
    </row>
    <row r="342">
      <c r="A342" t="n">
        <v>4624904</v>
      </c>
      <c r="B342" s="126" t="n">
        <v>46249</v>
      </c>
      <c r="C342" t="n">
        <v>4</v>
      </c>
      <c r="D342" t="inlineStr">
        <is>
          <t>04 a 05</t>
        </is>
      </c>
      <c r="E342" t="inlineStr">
        <is>
          <t>VMC</t>
        </is>
      </c>
      <c r="F342" t="inlineStr">
        <is>
          <t>ILIM</t>
        </is>
      </c>
      <c r="G342" t="n">
        <v>3800</v>
      </c>
      <c r="H342" t="inlineStr">
        <is>
          <t>NO</t>
        </is>
      </c>
      <c r="I342" t="inlineStr">
        <is>
          <t>SADM 150400Z 09004KT 9999 BKN038 13/12 Q1021</t>
        </is>
      </c>
      <c r="J342" t="inlineStr">
        <is>
          <t>s/d</t>
        </is>
      </c>
      <c r="K342" t="inlineStr">
        <is>
          <t>SADM 150400Z 09004KT 9999 BKN038 13/12 Q1021</t>
        </is>
      </c>
      <c r="L342" t="inlineStr">
        <is>
          <t>-</t>
        </is>
      </c>
    </row>
    <row r="343">
      <c r="A343" t="n">
        <v>4624905</v>
      </c>
      <c r="B343" s="126" t="n">
        <v>46249</v>
      </c>
      <c r="C343" t="n">
        <v>5</v>
      </c>
      <c r="D343" t="inlineStr">
        <is>
          <t>05 a 06</t>
        </is>
      </c>
      <c r="E343" t="inlineStr">
        <is>
          <t>VMC</t>
        </is>
      </c>
      <c r="F343" t="inlineStr">
        <is>
          <t>ILIM</t>
        </is>
      </c>
      <c r="G343" t="n">
        <v>3600</v>
      </c>
      <c r="H343" t="inlineStr">
        <is>
          <t>NO</t>
        </is>
      </c>
      <c r="I343" t="inlineStr">
        <is>
          <t>SADM 150500Z 07006KT 9999 OVC036 14/11 Q1021</t>
        </is>
      </c>
      <c r="J343" t="inlineStr">
        <is>
          <t>s/d</t>
        </is>
      </c>
      <c r="K343" t="inlineStr">
        <is>
          <t>SADM 150500Z 07006KT 9999 OVC036 14/11 Q1021</t>
        </is>
      </c>
      <c r="L343" t="inlineStr">
        <is>
          <t>-</t>
        </is>
      </c>
    </row>
    <row r="344">
      <c r="A344" t="n">
        <v>4624906</v>
      </c>
      <c r="B344" s="126" t="n">
        <v>46249</v>
      </c>
      <c r="C344" t="n">
        <v>6</v>
      </c>
      <c r="D344" t="inlineStr">
        <is>
          <t>06 a 07</t>
        </is>
      </c>
      <c r="E344" t="inlineStr">
        <is>
          <t>VMC</t>
        </is>
      </c>
      <c r="F344" t="inlineStr">
        <is>
          <t>ILIM</t>
        </is>
      </c>
      <c r="G344" t="inlineStr">
        <is>
          <t>ILIM</t>
        </is>
      </c>
      <c r="H344" t="inlineStr">
        <is>
          <t>NO</t>
        </is>
      </c>
      <c r="I344" t="inlineStr">
        <is>
          <t>SADM 150600Z 07010G20KT 9999 FEW037 14/11 Q1020</t>
        </is>
      </c>
      <c r="J344" t="inlineStr">
        <is>
          <t>s/d</t>
        </is>
      </c>
      <c r="K344" t="inlineStr">
        <is>
          <t>SADM 150600Z 07010G20KT 9999 FEW037 14/11 Q1020</t>
        </is>
      </c>
      <c r="L344" t="inlineStr">
        <is>
          <t>-</t>
        </is>
      </c>
    </row>
    <row r="345">
      <c r="A345" s="127" t="n">
        <v>4624907</v>
      </c>
      <c r="B345" s="128" t="n">
        <v>46249</v>
      </c>
      <c r="C345" s="127" t="n">
        <v>7</v>
      </c>
      <c r="D345" s="127" t="inlineStr">
        <is>
          <t>07 a 08</t>
        </is>
      </c>
      <c r="E345" s="127" t="inlineStr">
        <is>
          <t>IMC</t>
        </is>
      </c>
      <c r="F345" s="127" t="inlineStr">
        <is>
          <t>ILIM</t>
        </is>
      </c>
      <c r="G345" s="127" t="n">
        <v>1400</v>
      </c>
      <c r="H345" s="127" t="inlineStr">
        <is>
          <t>NO</t>
        </is>
      </c>
      <c r="I345" s="127" t="inlineStr">
        <is>
          <t>SADM 150700Z 07009KT 9999 OVC014 14/11 Q1019</t>
        </is>
      </c>
      <c r="J345" s="127" t="inlineStr">
        <is>
          <t>techo 1400 ft</t>
        </is>
      </c>
      <c r="K345" s="127" t="inlineStr">
        <is>
          <t>SADM 150700Z 07009KT 9999 OVC014 14/11 Q1019</t>
        </is>
      </c>
      <c r="L345" s="127" t="inlineStr">
        <is>
          <t>-</t>
        </is>
      </c>
    </row>
    <row r="346">
      <c r="A346" s="127" t="n">
        <v>4624908</v>
      </c>
      <c r="B346" s="128" t="n">
        <v>46249</v>
      </c>
      <c r="C346" s="127" t="n">
        <v>8</v>
      </c>
      <c r="D346" s="127" t="inlineStr">
        <is>
          <t>08 a 09</t>
        </is>
      </c>
      <c r="E346" s="127" t="inlineStr">
        <is>
          <t>IMC</t>
        </is>
      </c>
      <c r="F346" s="127" t="inlineStr">
        <is>
          <t>ILIM</t>
        </is>
      </c>
      <c r="G346" s="127" t="n">
        <v>1000</v>
      </c>
      <c r="H346" s="127" t="inlineStr">
        <is>
          <t>NO</t>
        </is>
      </c>
      <c r="I346" s="127" t="inlineStr">
        <is>
          <t>SADM 150800Z 05008KT 9999 OVC010 14/11 Q1019</t>
        </is>
      </c>
      <c r="J346" s="127" t="inlineStr">
        <is>
          <t>techo 1000 ft</t>
        </is>
      </c>
      <c r="K346" s="127" t="inlineStr">
        <is>
          <t>SADM 150800Z 05008KT 9999 OVC010 14/11 Q1019</t>
        </is>
      </c>
      <c r="L346" s="127" t="inlineStr">
        <is>
          <t>-</t>
        </is>
      </c>
    </row>
    <row r="347">
      <c r="A347" s="127" t="n">
        <v>4624909</v>
      </c>
      <c r="B347" s="128" t="n">
        <v>46249</v>
      </c>
      <c r="C347" s="127" t="n">
        <v>9</v>
      </c>
      <c r="D347" s="127" t="inlineStr">
        <is>
          <t>09 a 10</t>
        </is>
      </c>
      <c r="E347" s="127" t="inlineStr">
        <is>
          <t>IMC</t>
        </is>
      </c>
      <c r="F347" s="127" t="inlineStr">
        <is>
          <t>ILIM</t>
        </is>
      </c>
      <c r="G347" s="127" t="n">
        <v>1000</v>
      </c>
      <c r="H347" s="127" t="inlineStr">
        <is>
          <t>NO</t>
        </is>
      </c>
      <c r="I347" s="127" t="inlineStr">
        <is>
          <t>SADM 150900Z 05007KT 9999 OVC010 13/11 Q1018</t>
        </is>
      </c>
      <c r="J347" s="127" t="inlineStr">
        <is>
          <t>techo 1000 ft</t>
        </is>
      </c>
      <c r="K347" s="127" t="inlineStr">
        <is>
          <t>SADM 150900Z 05007KT 9999 OVC010 13/11 Q1018</t>
        </is>
      </c>
      <c r="L347" s="127" t="inlineStr">
        <is>
          <t>-</t>
        </is>
      </c>
    </row>
    <row r="348">
      <c r="A348" s="127" t="n">
        <v>4624910</v>
      </c>
      <c r="B348" s="128" t="n">
        <v>46249</v>
      </c>
      <c r="C348" s="127" t="n">
        <v>10</v>
      </c>
      <c r="D348" s="127" t="inlineStr">
        <is>
          <t>10 a 11</t>
        </is>
      </c>
      <c r="E348" s="127" t="inlineStr">
        <is>
          <t>IMC</t>
        </is>
      </c>
      <c r="F348" s="127" t="inlineStr">
        <is>
          <t>ILIM</t>
        </is>
      </c>
      <c r="G348" s="127" t="n">
        <v>1400</v>
      </c>
      <c r="H348" s="127" t="inlineStr">
        <is>
          <t>NO</t>
        </is>
      </c>
      <c r="I348" s="127" t="inlineStr">
        <is>
          <t>SADM 151000Z 07007KT 9999 OVC014 14/11 Q1018</t>
        </is>
      </c>
      <c r="J348" s="127" t="inlineStr">
        <is>
          <t>techo 1400 ft</t>
        </is>
      </c>
      <c r="K348" s="127" t="inlineStr">
        <is>
          <t>SADM 151000Z 07007KT 9999 OVC014 14/11 Q1018</t>
        </is>
      </c>
      <c r="L348" s="127" t="inlineStr">
        <is>
          <t>-</t>
        </is>
      </c>
    </row>
    <row r="349">
      <c r="A349" s="127" t="n">
        <v>4624911</v>
      </c>
      <c r="B349" s="128" t="n">
        <v>46249</v>
      </c>
      <c r="C349" s="127" t="n">
        <v>11</v>
      </c>
      <c r="D349" s="127" t="inlineStr">
        <is>
          <t>11 a 12</t>
        </is>
      </c>
      <c r="E349" s="127" t="inlineStr">
        <is>
          <t>IMC</t>
        </is>
      </c>
      <c r="F349" s="127" t="inlineStr">
        <is>
          <t>ILIM</t>
        </is>
      </c>
      <c r="G349" s="127" t="n">
        <v>1200</v>
      </c>
      <c r="H349" s="127" t="inlineStr">
        <is>
          <t>NO</t>
        </is>
      </c>
      <c r="I349" s="127" t="inlineStr">
        <is>
          <t>SADM 151100Z 05006KT 9999 OVC012 14/11 Q1019</t>
        </is>
      </c>
      <c r="J349" s="127" t="inlineStr">
        <is>
          <t>techo 1200 ft</t>
        </is>
      </c>
      <c r="K349" s="127" t="inlineStr">
        <is>
          <t>SADM 151100Z 05006KT 9999 OVC012 14/11 Q1019</t>
        </is>
      </c>
      <c r="L349" s="127" t="inlineStr">
        <is>
          <t>-</t>
        </is>
      </c>
    </row>
    <row r="350">
      <c r="A350" s="127" t="n">
        <v>4624912</v>
      </c>
      <c r="B350" s="128" t="n">
        <v>46249</v>
      </c>
      <c r="C350" s="127" t="n">
        <v>12</v>
      </c>
      <c r="D350" s="127" t="inlineStr">
        <is>
          <t>12 a 13</t>
        </is>
      </c>
      <c r="E350" s="127" t="inlineStr">
        <is>
          <t>IMC</t>
        </is>
      </c>
      <c r="F350" s="127" t="inlineStr">
        <is>
          <t>ILIM</t>
        </is>
      </c>
      <c r="G350" s="127" t="n">
        <v>800</v>
      </c>
      <c r="H350" s="127" t="inlineStr">
        <is>
          <t>NO</t>
        </is>
      </c>
      <c r="I350" s="127" t="inlineStr">
        <is>
          <t>SADM 151200Z 09005KT 9999 BKN008 OVC012 14/12 Q1018</t>
        </is>
      </c>
      <c r="J350" s="127" t="inlineStr">
        <is>
          <t>techo 800 ft</t>
        </is>
      </c>
      <c r="K350" s="127" t="inlineStr">
        <is>
          <t>SADM 151200Z 09005KT 9999 BKN008 OVC012 14/12 Q1018</t>
        </is>
      </c>
      <c r="L350" s="127" t="inlineStr">
        <is>
          <t>-</t>
        </is>
      </c>
    </row>
    <row r="351">
      <c r="A351" s="127" t="n">
        <v>4624913</v>
      </c>
      <c r="B351" s="128" t="n">
        <v>46249</v>
      </c>
      <c r="C351" s="127" t="n">
        <v>13</v>
      </c>
      <c r="D351" s="127" t="inlineStr">
        <is>
          <t>13 a 14</t>
        </is>
      </c>
      <c r="E351" s="127" t="inlineStr">
        <is>
          <t>IMC</t>
        </is>
      </c>
      <c r="F351" s="127" t="inlineStr">
        <is>
          <t>ILIM</t>
        </is>
      </c>
      <c r="G351" s="127" t="n">
        <v>800</v>
      </c>
      <c r="H351" s="127" t="inlineStr">
        <is>
          <t>NO</t>
        </is>
      </c>
      <c r="I351" s="127" t="inlineStr">
        <is>
          <t>SADM 151300Z 05005KT 9999 BKN008 OVC012 14/12 Q1018</t>
        </is>
      </c>
      <c r="J351" s="127" t="inlineStr">
        <is>
          <t>techo 800 ft</t>
        </is>
      </c>
      <c r="K351" s="127" t="inlineStr">
        <is>
          <t>SADM 151300Z 05005KT 9999 BKN008 OVC012 14/12 Q1018</t>
        </is>
      </c>
      <c r="L351" s="127" t="inlineStr">
        <is>
          <t>-</t>
        </is>
      </c>
    </row>
    <row r="352">
      <c r="A352" s="127" t="n">
        <v>4624914</v>
      </c>
      <c r="B352" s="128" t="n">
        <v>46249</v>
      </c>
      <c r="C352" s="127" t="n">
        <v>14</v>
      </c>
      <c r="D352" s="127" t="inlineStr">
        <is>
          <t>14 a 15</t>
        </is>
      </c>
      <c r="E352" s="127" t="inlineStr">
        <is>
          <t>IMC</t>
        </is>
      </c>
      <c r="F352" s="127" t="inlineStr">
        <is>
          <t>ILIM</t>
        </is>
      </c>
      <c r="G352" s="127" t="n">
        <v>800</v>
      </c>
      <c r="H352" s="127" t="inlineStr">
        <is>
          <t>NO</t>
        </is>
      </c>
      <c r="I352" s="127" t="inlineStr">
        <is>
          <t>SADM 151400Z 05007KT 9999 BKN008 OVC012 14/12 Q1017</t>
        </is>
      </c>
      <c r="J352" s="127" t="inlineStr">
        <is>
          <t>techo 800 ft</t>
        </is>
      </c>
      <c r="K352" s="127" t="inlineStr">
        <is>
          <t>SADM 151400Z 05007KT 9999 BKN008 OVC012 14/12 Q1017</t>
        </is>
      </c>
      <c r="L352" s="127" t="inlineStr">
        <is>
          <t>-</t>
        </is>
      </c>
    </row>
    <row r="353">
      <c r="A353" s="127" t="n">
        <v>4624915</v>
      </c>
      <c r="B353" s="128" t="n">
        <v>46249</v>
      </c>
      <c r="C353" s="127" t="n">
        <v>15</v>
      </c>
      <c r="D353" s="127" t="inlineStr">
        <is>
          <t>15 a 16</t>
        </is>
      </c>
      <c r="E353" s="127" t="inlineStr">
        <is>
          <t>IMC</t>
        </is>
      </c>
      <c r="F353" s="127" t="inlineStr">
        <is>
          <t>ILIM</t>
        </is>
      </c>
      <c r="G353" s="127" t="n">
        <v>800</v>
      </c>
      <c r="H353" s="127" t="inlineStr">
        <is>
          <t>NO</t>
        </is>
      </c>
      <c r="I353" s="127" t="inlineStr">
        <is>
          <t>SADM 151500Z 05008KT 9999 BKN008 OVC012 15/12 Q1017</t>
        </is>
      </c>
      <c r="J353" s="127" t="inlineStr">
        <is>
          <t>techo 800 ft</t>
        </is>
      </c>
      <c r="K353" s="127" t="inlineStr">
        <is>
          <t>SADM 151500Z 05008KT 9999 BKN008 OVC012 15/12 Q1017</t>
        </is>
      </c>
      <c r="L353" s="127" t="inlineStr">
        <is>
          <t>-</t>
        </is>
      </c>
    </row>
    <row r="354">
      <c r="A354" s="127" t="n">
        <v>4624916</v>
      </c>
      <c r="B354" s="128" t="n">
        <v>46249</v>
      </c>
      <c r="C354" s="127" t="n">
        <v>16</v>
      </c>
      <c r="D354" s="127" t="inlineStr">
        <is>
          <t>16 a 17</t>
        </is>
      </c>
      <c r="E354" s="127" t="inlineStr">
        <is>
          <t>IMC</t>
        </is>
      </c>
      <c r="F354" s="127" t="inlineStr">
        <is>
          <t>ILIM</t>
        </is>
      </c>
      <c r="G354" s="127" t="n">
        <v>1000</v>
      </c>
      <c r="H354" s="127" t="inlineStr">
        <is>
          <t>NO</t>
        </is>
      </c>
      <c r="I354" s="127" t="inlineStr">
        <is>
          <t>SADM 151600Z 05009KT 9999 BKN010 OVC012 15/12 Q1016</t>
        </is>
      </c>
      <c r="J354" s="127" t="inlineStr">
        <is>
          <t>techo 1000 ft</t>
        </is>
      </c>
      <c r="K354" s="127" t="inlineStr">
        <is>
          <t>SADM 151600Z 05009KT 9999 BKN010 OVC012 15/12 Q1016</t>
        </is>
      </c>
      <c r="L354" s="127" t="inlineStr">
        <is>
          <t>-</t>
        </is>
      </c>
    </row>
    <row r="355">
      <c r="A355" s="127" t="n">
        <v>4624917</v>
      </c>
      <c r="B355" s="128" t="n">
        <v>46249</v>
      </c>
      <c r="C355" s="127" t="n">
        <v>17</v>
      </c>
      <c r="D355" s="127" t="inlineStr">
        <is>
          <t>17 a 18</t>
        </is>
      </c>
      <c r="E355" s="127" t="inlineStr">
        <is>
          <t>IMC</t>
        </is>
      </c>
      <c r="F355" s="127" t="inlineStr">
        <is>
          <t>ILIM</t>
        </is>
      </c>
      <c r="G355" s="127" t="n">
        <v>800</v>
      </c>
      <c r="H355" s="127" t="inlineStr">
        <is>
          <t>SI</t>
        </is>
      </c>
      <c r="I355" s="127" t="inlineStr">
        <is>
          <t>SADM 151700Z 05005KT 9999 BKN010 OVC012 15/13 Q1014</t>
        </is>
      </c>
      <c r="J355" s="127" t="inlineStr">
        <is>
          <t>techo 800 ft</t>
        </is>
      </c>
      <c r="K355" s="127" t="inlineStr">
        <is>
          <t>SADM 151700Z 05005KT 9999 BKN010 OVC012 15/13 Q1014 || SADM 151742Z 09005KT 9999 BKN008 OVC012 15/13 Q1014</t>
        </is>
      </c>
      <c r="L355" s="127" t="inlineStr">
        <is>
          <t>-</t>
        </is>
      </c>
    </row>
    <row r="356">
      <c r="A356" s="127" t="n">
        <v>4624918</v>
      </c>
      <c r="B356" s="128" t="n">
        <v>46249</v>
      </c>
      <c r="C356" s="127" t="n">
        <v>18</v>
      </c>
      <c r="D356" s="127" t="inlineStr">
        <is>
          <t>18 a 19</t>
        </is>
      </c>
      <c r="E356" s="127" t="inlineStr">
        <is>
          <t>IMC</t>
        </is>
      </c>
      <c r="F356" s="127" t="n">
        <v>4000</v>
      </c>
      <c r="G356" s="127" t="n">
        <v>800</v>
      </c>
      <c r="H356" s="127" t="inlineStr">
        <is>
          <t>NO</t>
        </is>
      </c>
      <c r="I356" s="127" t="inlineStr">
        <is>
          <t>SADM 151800Z 05004KT 4000 OVC008 15/13 Q1014</t>
        </is>
      </c>
      <c r="J356" s="127" t="inlineStr">
        <is>
          <t>vis 4000 m + techo 800 ft</t>
        </is>
      </c>
      <c r="K356" s="127" t="inlineStr">
        <is>
          <t>SADM 151800Z 05004KT 4000 OVC008 15/13 Q1014</t>
        </is>
      </c>
      <c r="L356" s="127" t="inlineStr">
        <is>
          <t>-</t>
        </is>
      </c>
    </row>
    <row r="357">
      <c r="A357" s="127" t="n">
        <v>4624919</v>
      </c>
      <c r="B357" s="128" t="n">
        <v>46249</v>
      </c>
      <c r="C357" s="127" t="n">
        <v>19</v>
      </c>
      <c r="D357" s="127" t="inlineStr">
        <is>
          <t>19 a 20</t>
        </is>
      </c>
      <c r="E357" s="127" t="inlineStr">
        <is>
          <t>IMC</t>
        </is>
      </c>
      <c r="F357" s="127" t="n">
        <v>4000</v>
      </c>
      <c r="G357" s="127" t="n">
        <v>800</v>
      </c>
      <c r="H357" s="127" t="inlineStr">
        <is>
          <t>NO</t>
        </is>
      </c>
      <c r="I357" s="127" t="inlineStr">
        <is>
          <t>SADM 151900Z 09003KT 4000 BR BKN008 OVC012 14/13 Q1013</t>
        </is>
      </c>
      <c r="J357" s="127" t="inlineStr">
        <is>
          <t>vis 4000 m + techo 800 ft</t>
        </is>
      </c>
      <c r="K357" s="127" t="inlineStr">
        <is>
          <t>SADM 151900Z 09003KT 4000 BR BKN008 OVC012 14/13 Q1013</t>
        </is>
      </c>
      <c r="L357" s="127" t="inlineStr">
        <is>
          <t>-</t>
        </is>
      </c>
    </row>
    <row r="358">
      <c r="A358" s="127" t="n">
        <v>4624920</v>
      </c>
      <c r="B358" s="128" t="n">
        <v>46249</v>
      </c>
      <c r="C358" s="127" t="n">
        <v>20</v>
      </c>
      <c r="D358" s="127" t="inlineStr">
        <is>
          <t>20 a 21</t>
        </is>
      </c>
      <c r="E358" s="127" t="inlineStr">
        <is>
          <t>IMC</t>
        </is>
      </c>
      <c r="F358" s="127" t="n">
        <v>4000</v>
      </c>
      <c r="G358" s="127" t="n">
        <v>800</v>
      </c>
      <c r="H358" s="127" t="inlineStr">
        <is>
          <t>NO</t>
        </is>
      </c>
      <c r="I358" s="127" t="inlineStr">
        <is>
          <t>SADM 152000Z 05004KT 4000 BR BKN008 OVC012 14/13 Q1012</t>
        </is>
      </c>
      <c r="J358" s="127" t="inlineStr">
        <is>
          <t>vis 4000 m + techo 800 ft</t>
        </is>
      </c>
      <c r="K358" s="127" t="inlineStr">
        <is>
          <t>SADM 152000Z 05004KT 4000 BR BKN008 OVC012 14/13 Q1012</t>
        </is>
      </c>
      <c r="L358" s="127" t="inlineStr">
        <is>
          <t>-</t>
        </is>
      </c>
    </row>
    <row r="359">
      <c r="A359" s="127" t="n">
        <v>4624921</v>
      </c>
      <c r="B359" s="128" t="n">
        <v>46249</v>
      </c>
      <c r="C359" s="127" t="n">
        <v>21</v>
      </c>
      <c r="D359" s="127" t="inlineStr">
        <is>
          <t>21 a 22</t>
        </is>
      </c>
      <c r="E359" s="127" t="inlineStr">
        <is>
          <t>IMC</t>
        </is>
      </c>
      <c r="F359" s="127" t="n">
        <v>3000</v>
      </c>
      <c r="G359" s="127" t="n">
        <v>800</v>
      </c>
      <c r="H359" s="127" t="inlineStr">
        <is>
          <t>NO</t>
        </is>
      </c>
      <c r="I359" s="127" t="inlineStr">
        <is>
          <t>SADM 152100Z 05004KT 3000 -DZBR OVC008 14/13 Q1012</t>
        </is>
      </c>
      <c r="J359" s="127" t="inlineStr">
        <is>
          <t>vis 3000 m + techo 800 ft</t>
        </is>
      </c>
      <c r="K359" s="127" t="inlineStr">
        <is>
          <t>SADM 152100Z 05004KT 3000 -DZBR OVC008 14/13 Q1012</t>
        </is>
      </c>
      <c r="L359" s="127" t="inlineStr">
        <is>
          <t>-</t>
        </is>
      </c>
    </row>
    <row r="360">
      <c r="A360" s="127" t="n">
        <v>4624922</v>
      </c>
      <c r="B360" s="128" t="n">
        <v>46249</v>
      </c>
      <c r="C360" s="127" t="n">
        <v>22</v>
      </c>
      <c r="D360" s="127" t="inlineStr">
        <is>
          <t>22 a 23</t>
        </is>
      </c>
      <c r="E360" s="127" t="inlineStr">
        <is>
          <t>IMC</t>
        </is>
      </c>
      <c r="F360" s="127" t="n">
        <v>4000</v>
      </c>
      <c r="G360" s="127" t="n">
        <v>700</v>
      </c>
      <c r="H360" s="127" t="inlineStr">
        <is>
          <t>NO</t>
        </is>
      </c>
      <c r="I360" s="127" t="inlineStr">
        <is>
          <t>SADM 152200Z 09002KT 4000 BR OVC007 14/13 Q1012</t>
        </is>
      </c>
      <c r="J360" s="127" t="inlineStr">
        <is>
          <t>vis 4000 m + techo 700 ft</t>
        </is>
      </c>
      <c r="K360" s="127" t="inlineStr">
        <is>
          <t>SADM 152200Z 09002KT 4000 BR OVC007 14/13 Q1012</t>
        </is>
      </c>
      <c r="L360" s="127" t="inlineStr">
        <is>
          <t>-</t>
        </is>
      </c>
    </row>
    <row r="361">
      <c r="A361" s="127" t="n">
        <v>4624923</v>
      </c>
      <c r="B361" s="128" t="n">
        <v>46249</v>
      </c>
      <c r="C361" s="127" t="n">
        <v>23</v>
      </c>
      <c r="D361" s="127" t="inlineStr">
        <is>
          <t>23 a 00</t>
        </is>
      </c>
      <c r="E361" s="127" t="inlineStr">
        <is>
          <t>IMC</t>
        </is>
      </c>
      <c r="F361" s="127" t="n">
        <v>4000</v>
      </c>
      <c r="G361" s="127" t="n">
        <v>600</v>
      </c>
      <c r="H361" s="127" t="inlineStr">
        <is>
          <t>NO</t>
        </is>
      </c>
      <c r="I361" s="127" t="inlineStr">
        <is>
          <t>SADM 152300Z 09005KT 4000 -DZBR OVC006 15/14 Q1012</t>
        </is>
      </c>
      <c r="J361" s="127" t="inlineStr">
        <is>
          <t>vis 4000 m + techo 600 ft</t>
        </is>
      </c>
      <c r="K361" s="127" t="inlineStr">
        <is>
          <t>SADM 152300Z 09005KT 4000 -DZBR OVC006 15/14 Q1012</t>
        </is>
      </c>
      <c r="L361" s="127" t="inlineStr">
        <is>
          <t>-</t>
        </is>
      </c>
    </row>
    <row r="362">
      <c r="A362" s="127" t="n">
        <v>4625000</v>
      </c>
      <c r="B362" s="128" t="n">
        <v>46250</v>
      </c>
      <c r="C362" s="127" t="n">
        <v>0</v>
      </c>
      <c r="D362" s="127" t="inlineStr">
        <is>
          <t>00 a 01</t>
        </is>
      </c>
      <c r="E362" s="127" t="inlineStr">
        <is>
          <t>IMC</t>
        </is>
      </c>
      <c r="F362" s="127" t="n">
        <v>4000</v>
      </c>
      <c r="G362" s="127" t="n">
        <v>1200</v>
      </c>
      <c r="H362" s="127" t="inlineStr">
        <is>
          <t>NO</t>
        </is>
      </c>
      <c r="I362" s="127" t="inlineStr">
        <is>
          <t>SADM 160000Z 09001KT 4000 -DZBR OVC012 15/14 Q1013</t>
        </is>
      </c>
      <c r="J362" s="127" t="inlineStr">
        <is>
          <t>vis 4000 m + techo 1200 ft</t>
        </is>
      </c>
      <c r="K362" s="127" t="inlineStr">
        <is>
          <t>SADM 160000Z 09001KT 4000 -DZBR OVC012 15/14 Q1013</t>
        </is>
      </c>
      <c r="L362" s="127" t="inlineStr">
        <is>
          <t>-</t>
        </is>
      </c>
    </row>
    <row r="363">
      <c r="A363" s="127" t="n">
        <v>4625001</v>
      </c>
      <c r="B363" s="128" t="n">
        <v>46250</v>
      </c>
      <c r="C363" s="127" t="n">
        <v>1</v>
      </c>
      <c r="D363" s="127" t="inlineStr">
        <is>
          <t>01 a 02</t>
        </is>
      </c>
      <c r="E363" s="127" t="inlineStr">
        <is>
          <t>IMC</t>
        </is>
      </c>
      <c r="F363" s="127" t="n">
        <v>3000</v>
      </c>
      <c r="G363" s="127" t="n">
        <v>800</v>
      </c>
      <c r="H363" s="127" t="inlineStr">
        <is>
          <t>NO</t>
        </is>
      </c>
      <c r="I363" s="127" t="inlineStr">
        <is>
          <t>SADM 160100Z 05001KT 3000 -DZBR OVC008 15/15 Q1013</t>
        </is>
      </c>
      <c r="J363" s="127" t="inlineStr">
        <is>
          <t>vis 3000 m + techo 800 ft</t>
        </is>
      </c>
      <c r="K363" s="127" t="inlineStr">
        <is>
          <t>SADM 160100Z 05001KT 3000 -DZBR OVC008 15/15 Q1013</t>
        </is>
      </c>
      <c r="L363" s="127" t="inlineStr">
        <is>
          <t>-</t>
        </is>
      </c>
    </row>
    <row r="364">
      <c r="A364" s="127" t="n">
        <v>4625002</v>
      </c>
      <c r="B364" s="128" t="n">
        <v>46250</v>
      </c>
      <c r="C364" s="127" t="n">
        <v>2</v>
      </c>
      <c r="D364" s="127" t="inlineStr">
        <is>
          <t>02 a 03</t>
        </is>
      </c>
      <c r="E364" s="127" t="inlineStr">
        <is>
          <t>IMC</t>
        </is>
      </c>
      <c r="F364" s="127" t="n">
        <v>5000</v>
      </c>
      <c r="G364" s="127" t="n">
        <v>1000</v>
      </c>
      <c r="H364" s="127" t="inlineStr">
        <is>
          <t>NO</t>
        </is>
      </c>
      <c r="I364" s="127" t="inlineStr">
        <is>
          <t>SADM 160200Z 02004KT 5000 BR OVC010 15/15 Q1013</t>
        </is>
      </c>
      <c r="J364" s="127" t="inlineStr">
        <is>
          <t>techo 1000 ft</t>
        </is>
      </c>
      <c r="K364" s="127" t="inlineStr">
        <is>
          <t>SADM 160200Z 02004KT 5000 BR OVC010 15/15 Q1013</t>
        </is>
      </c>
      <c r="L364" s="127" t="inlineStr">
        <is>
          <t>-</t>
        </is>
      </c>
    </row>
    <row r="365">
      <c r="A365" s="127" t="n">
        <v>4625003</v>
      </c>
      <c r="B365" s="128" t="n">
        <v>46250</v>
      </c>
      <c r="C365" s="127" t="n">
        <v>3</v>
      </c>
      <c r="D365" s="127" t="inlineStr">
        <is>
          <t>03 a 04</t>
        </is>
      </c>
      <c r="E365" s="127" t="inlineStr">
        <is>
          <t>IMC</t>
        </is>
      </c>
      <c r="F365" s="127" t="n">
        <v>9000</v>
      </c>
      <c r="G365" s="127" t="n">
        <v>1400</v>
      </c>
      <c r="H365" s="127" t="inlineStr">
        <is>
          <t>NO</t>
        </is>
      </c>
      <c r="I365" s="127" t="inlineStr">
        <is>
          <t>SADM 160300Z 02003KT 9000 BKN014 OVC100 15/14 Q1012</t>
        </is>
      </c>
      <c r="J365" s="127" t="inlineStr">
        <is>
          <t>techo 1400 ft</t>
        </is>
      </c>
      <c r="K365" s="127" t="inlineStr">
        <is>
          <t>SADM 160300Z 02003KT 9000 BKN014 OVC100 15/14 Q1012</t>
        </is>
      </c>
      <c r="L365" s="127" t="inlineStr">
        <is>
          <t>-</t>
        </is>
      </c>
    </row>
    <row r="366">
      <c r="A366" t="n">
        <v>4625004</v>
      </c>
      <c r="B366" s="126" t="n">
        <v>46250</v>
      </c>
      <c r="C366" t="n">
        <v>4</v>
      </c>
      <c r="D366" t="inlineStr">
        <is>
          <t>04 a 05</t>
        </is>
      </c>
      <c r="E366" t="inlineStr">
        <is>
          <t>VMC</t>
        </is>
      </c>
      <c r="F366" t="n">
        <v>9000</v>
      </c>
      <c r="G366" t="n">
        <v>10000</v>
      </c>
      <c r="H366" t="inlineStr">
        <is>
          <t>NO</t>
        </is>
      </c>
      <c r="I366" t="inlineStr">
        <is>
          <t>SADM 160400Z 02005KT 9000 SCT014 OVC100 15/14 Q1012</t>
        </is>
      </c>
      <c r="J366" t="inlineStr">
        <is>
          <t>s/d</t>
        </is>
      </c>
      <c r="K366" t="inlineStr">
        <is>
          <t>SADM 160400Z 02005KT 9000 SCT014 OVC100 15/14 Q1012</t>
        </is>
      </c>
      <c r="L366" t="inlineStr">
        <is>
          <t>-</t>
        </is>
      </c>
    </row>
    <row r="367">
      <c r="A367" t="n">
        <v>4625005</v>
      </c>
      <c r="B367" s="126" t="n">
        <v>46250</v>
      </c>
      <c r="C367" t="n">
        <v>5</v>
      </c>
      <c r="D367" t="inlineStr">
        <is>
          <t>05 a 06</t>
        </is>
      </c>
      <c r="E367" t="inlineStr">
        <is>
          <t>VMC</t>
        </is>
      </c>
      <c r="F367" t="n">
        <v>9000</v>
      </c>
      <c r="G367" t="n">
        <v>3800</v>
      </c>
      <c r="H367" t="inlineStr">
        <is>
          <t>NO</t>
        </is>
      </c>
      <c r="I367" t="inlineStr">
        <is>
          <t>SADM 160500Z 36007KT 9000 SCT005 OVC038 15/14 Q1012</t>
        </is>
      </c>
      <c r="J367" t="inlineStr">
        <is>
          <t>s/d</t>
        </is>
      </c>
      <c r="K367" t="inlineStr">
        <is>
          <t>SADM 160500Z 36007KT 9000 SCT005 OVC038 15/14 Q1012</t>
        </is>
      </c>
      <c r="L367" t="inlineStr">
        <is>
          <t>-</t>
        </is>
      </c>
    </row>
    <row r="368">
      <c r="A368" t="n">
        <v>4625006</v>
      </c>
      <c r="B368" s="126" t="n">
        <v>46250</v>
      </c>
      <c r="C368" t="n">
        <v>6</v>
      </c>
      <c r="D368" t="inlineStr">
        <is>
          <t>06 a 07</t>
        </is>
      </c>
      <c r="E368" t="inlineStr">
        <is>
          <t>VMC</t>
        </is>
      </c>
      <c r="F368" t="n">
        <v>9000</v>
      </c>
      <c r="G368" t="n">
        <v>3000</v>
      </c>
      <c r="H368" t="inlineStr">
        <is>
          <t>NO</t>
        </is>
      </c>
      <c r="I368" t="inlineStr">
        <is>
          <t>SADM 160600Z 32006KT 9000 SCT005 OVC030 15/14 Q1013</t>
        </is>
      </c>
      <c r="J368" t="inlineStr">
        <is>
          <t>s/d</t>
        </is>
      </c>
      <c r="K368" t="inlineStr">
        <is>
          <t>SADM 160600Z 32006KT 9000 SCT005 OVC030 15/14 Q1013</t>
        </is>
      </c>
      <c r="L368" t="inlineStr">
        <is>
          <t>-</t>
        </is>
      </c>
    </row>
    <row r="369">
      <c r="A369" t="n">
        <v>4625007</v>
      </c>
      <c r="B369" s="126" t="n">
        <v>46250</v>
      </c>
      <c r="C369" t="n">
        <v>7</v>
      </c>
      <c r="D369" t="inlineStr">
        <is>
          <t>07 a 08</t>
        </is>
      </c>
      <c r="E369" t="inlineStr">
        <is>
          <t>VMC</t>
        </is>
      </c>
      <c r="F369" t="n">
        <v>9000</v>
      </c>
      <c r="G369" t="n">
        <v>4000</v>
      </c>
      <c r="H369" t="inlineStr">
        <is>
          <t>NO</t>
        </is>
      </c>
      <c r="I369" t="inlineStr">
        <is>
          <t>SADM 160700Z 32004KT 9000 FEW006 OVC040 14/14 Q1012</t>
        </is>
      </c>
      <c r="J369" t="inlineStr">
        <is>
          <t>s/d</t>
        </is>
      </c>
      <c r="K369" t="inlineStr">
        <is>
          <t>SADM 160700Z 32004KT 9000 FEW006 OVC040 14/14 Q1012</t>
        </is>
      </c>
      <c r="L369" t="inlineStr">
        <is>
          <t>-</t>
        </is>
      </c>
    </row>
    <row r="370">
      <c r="A370" t="n">
        <v>4625008</v>
      </c>
      <c r="B370" s="126" t="n">
        <v>46250</v>
      </c>
      <c r="C370" t="n">
        <v>8</v>
      </c>
      <c r="D370" t="inlineStr">
        <is>
          <t>08 a 09</t>
        </is>
      </c>
      <c r="E370" t="inlineStr">
        <is>
          <t>VMC</t>
        </is>
      </c>
      <c r="F370" t="n">
        <v>9000</v>
      </c>
      <c r="G370" t="n">
        <v>20000</v>
      </c>
      <c r="H370" t="inlineStr">
        <is>
          <t>NO</t>
        </is>
      </c>
      <c r="I370" t="inlineStr">
        <is>
          <t>SADM 160800Z 32002KT 9000 SCT040 BKN200 14/13 Q1012</t>
        </is>
      </c>
      <c r="J370" t="inlineStr">
        <is>
          <t>s/d</t>
        </is>
      </c>
      <c r="K370" t="inlineStr">
        <is>
          <t>SADM 160800Z 32002KT 9000 SCT040 BKN200 14/13 Q1012</t>
        </is>
      </c>
      <c r="L370" t="inlineStr">
        <is>
          <t>-</t>
        </is>
      </c>
    </row>
    <row r="371">
      <c r="A371" t="n">
        <v>4625009</v>
      </c>
      <c r="B371" s="126" t="n">
        <v>46250</v>
      </c>
      <c r="C371" t="n">
        <v>9</v>
      </c>
      <c r="D371" t="inlineStr">
        <is>
          <t>09 a 10</t>
        </is>
      </c>
      <c r="E371" t="inlineStr">
        <is>
          <t>VMC</t>
        </is>
      </c>
      <c r="F371" t="n">
        <v>9000</v>
      </c>
      <c r="G371" t="n">
        <v>20000</v>
      </c>
      <c r="H371" t="inlineStr">
        <is>
          <t>NO</t>
        </is>
      </c>
      <c r="I371" t="inlineStr">
        <is>
          <t>SADM 160900Z 34003KT 9000 FEW009 BKN200 14/13 Q1011</t>
        </is>
      </c>
      <c r="J371" t="inlineStr">
        <is>
          <t>s/d</t>
        </is>
      </c>
      <c r="K371" t="inlineStr">
        <is>
          <t>SADM 160900Z 34003KT 9000 FEW009 BKN200 14/13 Q1011</t>
        </is>
      </c>
      <c r="L371" t="inlineStr">
        <is>
          <t>-</t>
        </is>
      </c>
    </row>
    <row r="372">
      <c r="A372" s="127" t="n">
        <v>4625010</v>
      </c>
      <c r="B372" s="128" t="n">
        <v>46250</v>
      </c>
      <c r="C372" s="127" t="n">
        <v>10</v>
      </c>
      <c r="D372" s="127" t="inlineStr">
        <is>
          <t>10 a 11</t>
        </is>
      </c>
      <c r="E372" s="127" t="inlineStr">
        <is>
          <t>IMC</t>
        </is>
      </c>
      <c r="F372" s="127" t="n">
        <v>5000</v>
      </c>
      <c r="G372" s="127" t="n">
        <v>700</v>
      </c>
      <c r="H372" s="127" t="inlineStr">
        <is>
          <t>NO</t>
        </is>
      </c>
      <c r="I372" s="127" t="inlineStr">
        <is>
          <t>SADM 161000Z 34002KT 5000 BR OVC007 13/13 Q1010</t>
        </is>
      </c>
      <c r="J372" s="127" t="inlineStr">
        <is>
          <t>techo 700 ft</t>
        </is>
      </c>
      <c r="K372" s="127" t="inlineStr">
        <is>
          <t>SADM 161000Z 34002KT 5000 BR OVC007 13/13 Q1010</t>
        </is>
      </c>
      <c r="L372" s="127" t="inlineStr">
        <is>
          <t>-</t>
        </is>
      </c>
    </row>
    <row r="373">
      <c r="A373" s="127" t="n">
        <v>4625011</v>
      </c>
      <c r="B373" s="128" t="n">
        <v>46250</v>
      </c>
      <c r="C373" s="127" t="n">
        <v>11</v>
      </c>
      <c r="D373" s="127" t="inlineStr">
        <is>
          <t>11 a 12</t>
        </is>
      </c>
      <c r="E373" s="127" t="inlineStr">
        <is>
          <t>IMC</t>
        </is>
      </c>
      <c r="F373" s="127" t="n">
        <v>3000</v>
      </c>
      <c r="G373" s="127" t="n">
        <v>600</v>
      </c>
      <c r="H373" s="127" t="inlineStr">
        <is>
          <t>NO</t>
        </is>
      </c>
      <c r="I373" s="127" t="inlineStr">
        <is>
          <t>SADM 161100Z 32002KT 3000 BR OVC006 13/13 Q1011</t>
        </is>
      </c>
      <c r="J373" s="127" t="inlineStr">
        <is>
          <t>vis 3000 m + techo 600 ft</t>
        </is>
      </c>
      <c r="K373" s="127" t="inlineStr">
        <is>
          <t>SADM 161100Z 32002KT 3000 BR OVC006 13/13 Q1011</t>
        </is>
      </c>
      <c r="L373" s="127" t="inlineStr">
        <is>
          <t>-</t>
        </is>
      </c>
    </row>
    <row r="374">
      <c r="A374" s="127" t="n">
        <v>4625012</v>
      </c>
      <c r="B374" s="128" t="n">
        <v>46250</v>
      </c>
      <c r="C374" s="127" t="n">
        <v>12</v>
      </c>
      <c r="D374" s="127" t="inlineStr">
        <is>
          <t>12 a 13</t>
        </is>
      </c>
      <c r="E374" s="127" t="inlineStr">
        <is>
          <t>IMC</t>
        </is>
      </c>
      <c r="F374" s="127" t="n">
        <v>4000</v>
      </c>
      <c r="G374" s="127" t="n">
        <v>500</v>
      </c>
      <c r="H374" s="127" t="inlineStr">
        <is>
          <t>NO</t>
        </is>
      </c>
      <c r="I374" s="127" t="inlineStr">
        <is>
          <t>SADM 161200Z 29004KT 4000 BR OVC005 14/13 Q1012</t>
        </is>
      </c>
      <c r="J374" s="127" t="inlineStr">
        <is>
          <t>vis 4000 m + techo 500 ft</t>
        </is>
      </c>
      <c r="K374" s="127" t="inlineStr">
        <is>
          <t>SADM 161200Z 29004KT 4000 BR OVC005 14/13 Q1012</t>
        </is>
      </c>
      <c r="L374" s="127" t="inlineStr">
        <is>
          <t>-</t>
        </is>
      </c>
    </row>
    <row r="375">
      <c r="A375" s="127" t="n">
        <v>4625013</v>
      </c>
      <c r="B375" s="128" t="n">
        <v>46250</v>
      </c>
      <c r="C375" s="127" t="n">
        <v>13</v>
      </c>
      <c r="D375" s="127" t="inlineStr">
        <is>
          <t>13 a 14</t>
        </is>
      </c>
      <c r="E375" s="127" t="inlineStr">
        <is>
          <t>IMC</t>
        </is>
      </c>
      <c r="F375" s="127" t="n">
        <v>5000</v>
      </c>
      <c r="G375" s="127" t="n">
        <v>500</v>
      </c>
      <c r="H375" s="127" t="inlineStr">
        <is>
          <t>NO</t>
        </is>
      </c>
      <c r="I375" s="127" t="inlineStr">
        <is>
          <t>SADM 161300Z 29004KT 5000 BR BKN005 OVC035 14/13 Q1011</t>
        </is>
      </c>
      <c r="J375" s="127" t="inlineStr">
        <is>
          <t>techo 500 ft</t>
        </is>
      </c>
      <c r="K375" s="127" t="inlineStr">
        <is>
          <t>SADM 161300Z 29004KT 5000 BR BKN005 OVC035 14/13 Q1011</t>
        </is>
      </c>
      <c r="L375" s="127" t="inlineStr">
        <is>
          <t>-</t>
        </is>
      </c>
    </row>
    <row r="376">
      <c r="A376" t="n">
        <v>4625014</v>
      </c>
      <c r="B376" s="126" t="n">
        <v>46250</v>
      </c>
      <c r="C376" t="n">
        <v>14</v>
      </c>
      <c r="D376" t="inlineStr">
        <is>
          <t>14 a 15</t>
        </is>
      </c>
      <c r="E376" t="inlineStr">
        <is>
          <t>VMC</t>
        </is>
      </c>
      <c r="F376" t="inlineStr">
        <is>
          <t>ILIM</t>
        </is>
      </c>
      <c r="G376" t="inlineStr">
        <is>
          <t>ILIM</t>
        </is>
      </c>
      <c r="H376" t="inlineStr">
        <is>
          <t>NO</t>
        </is>
      </c>
      <c r="I376" t="inlineStr">
        <is>
          <t>SADM 161400Z 32002KT 9999 SCT040 15/13 Q1011</t>
        </is>
      </c>
      <c r="J376" t="inlineStr">
        <is>
          <t>s/d</t>
        </is>
      </c>
      <c r="K376" t="inlineStr">
        <is>
          <t>SADM 161400Z 32002KT 9999 SCT040 15/13 Q1011</t>
        </is>
      </c>
      <c r="L376" t="inlineStr">
        <is>
          <t>-</t>
        </is>
      </c>
    </row>
    <row r="377">
      <c r="A377" t="n">
        <v>4625015</v>
      </c>
      <c r="B377" s="126" t="n">
        <v>46250</v>
      </c>
      <c r="C377" t="n">
        <v>15</v>
      </c>
      <c r="D377" t="inlineStr">
        <is>
          <t>15 a 16</t>
        </is>
      </c>
      <c r="E377" t="inlineStr">
        <is>
          <t>VMC</t>
        </is>
      </c>
      <c r="F377" t="inlineStr">
        <is>
          <t>ILIM</t>
        </is>
      </c>
      <c r="G377" t="n">
        <v>10000</v>
      </c>
      <c r="H377" t="inlineStr">
        <is>
          <t>NO</t>
        </is>
      </c>
      <c r="I377" t="inlineStr">
        <is>
          <t>SADM 161500Z 23004KT 9999 FEW012 SCT040 BKN100 16/13 Q1011</t>
        </is>
      </c>
      <c r="J377" t="inlineStr">
        <is>
          <t>s/d</t>
        </is>
      </c>
      <c r="K377" t="inlineStr">
        <is>
          <t>SADM 161500Z 23004KT 9999 FEW012 SCT040 BKN100 16/13 Q1011</t>
        </is>
      </c>
      <c r="L377" t="inlineStr">
        <is>
          <t>-</t>
        </is>
      </c>
    </row>
    <row r="378">
      <c r="A378" t="n">
        <v>4625016</v>
      </c>
      <c r="B378" s="126" t="n">
        <v>46250</v>
      </c>
      <c r="C378" t="n">
        <v>16</v>
      </c>
      <c r="D378" t="inlineStr">
        <is>
          <t>16 a 17</t>
        </is>
      </c>
      <c r="E378" t="inlineStr">
        <is>
          <t>VMC</t>
        </is>
      </c>
      <c r="F378" t="inlineStr">
        <is>
          <t>ILIM</t>
        </is>
      </c>
      <c r="G378" t="n">
        <v>4000</v>
      </c>
      <c r="H378" t="inlineStr">
        <is>
          <t>NO</t>
        </is>
      </c>
      <c r="I378" t="inlineStr">
        <is>
          <t>SADM 161600Z 27003KT 9999 BKN040 OVC100 17/14 Q1011</t>
        </is>
      </c>
      <c r="J378" t="inlineStr">
        <is>
          <t>s/d</t>
        </is>
      </c>
      <c r="K378" t="inlineStr">
        <is>
          <t>SADM 161600Z 27003KT 9999 BKN040 OVC100 17/14 Q1011</t>
        </is>
      </c>
      <c r="L378" t="inlineStr">
        <is>
          <t>-</t>
        </is>
      </c>
    </row>
    <row r="379">
      <c r="A379" t="n">
        <v>4625017</v>
      </c>
      <c r="B379" s="126" t="n">
        <v>46250</v>
      </c>
      <c r="C379" t="n">
        <v>17</v>
      </c>
      <c r="D379" t="inlineStr">
        <is>
          <t>17 a 18</t>
        </is>
      </c>
      <c r="E379" t="inlineStr">
        <is>
          <t>VMC</t>
        </is>
      </c>
      <c r="F379" t="inlineStr">
        <is>
          <t>ILIM</t>
        </is>
      </c>
      <c r="G379" t="n">
        <v>4000</v>
      </c>
      <c r="H379" t="inlineStr">
        <is>
          <t>NO</t>
        </is>
      </c>
      <c r="I379" t="inlineStr">
        <is>
          <t>SADM 161700Z 27007KT 9999 BKN040 OVC100 16/15 Q1011</t>
        </is>
      </c>
      <c r="J379" t="inlineStr">
        <is>
          <t>s/d</t>
        </is>
      </c>
      <c r="K379" t="inlineStr">
        <is>
          <t>SADM 161700Z 27007KT 9999 BKN040 OVC100 16/15 Q1011</t>
        </is>
      </c>
      <c r="L379" t="inlineStr">
        <is>
          <t>-</t>
        </is>
      </c>
    </row>
    <row r="380">
      <c r="A380" t="n">
        <v>4625018</v>
      </c>
      <c r="B380" s="126" t="n">
        <v>46250</v>
      </c>
      <c r="C380" t="n">
        <v>18</v>
      </c>
      <c r="D380" t="inlineStr">
        <is>
          <t>18 a 19</t>
        </is>
      </c>
      <c r="E380" t="inlineStr">
        <is>
          <t>VMC</t>
        </is>
      </c>
      <c r="F380" t="inlineStr">
        <is>
          <t>ILIM</t>
        </is>
      </c>
      <c r="G380" t="n">
        <v>3500</v>
      </c>
      <c r="H380" t="inlineStr">
        <is>
          <t>NO</t>
        </is>
      </c>
      <c r="I380" t="inlineStr">
        <is>
          <t>SADM 161800Z 20005KT 9999 BKN035 OVC100 16/13 Q1010</t>
        </is>
      </c>
      <c r="J380" t="inlineStr">
        <is>
          <t>s/d</t>
        </is>
      </c>
      <c r="K380" t="inlineStr">
        <is>
          <t>SADM 161800Z 20005KT 9999 BKN035 OVC100 16/13 Q1010</t>
        </is>
      </c>
      <c r="L380" t="inlineStr">
        <is>
          <t>-</t>
        </is>
      </c>
    </row>
    <row r="381">
      <c r="A381" t="n">
        <v>4625019</v>
      </c>
      <c r="B381" s="126" t="n">
        <v>46250</v>
      </c>
      <c r="C381" t="n">
        <v>19</v>
      </c>
      <c r="D381" t="inlineStr">
        <is>
          <t>19 a 20</t>
        </is>
      </c>
      <c r="E381" t="inlineStr">
        <is>
          <t>VMC</t>
        </is>
      </c>
      <c r="F381" t="inlineStr">
        <is>
          <t>ILIM</t>
        </is>
      </c>
      <c r="G381" t="n">
        <v>3500</v>
      </c>
      <c r="H381" t="inlineStr">
        <is>
          <t>NO</t>
        </is>
      </c>
      <c r="I381" t="inlineStr">
        <is>
          <t>SADM 161900Z 23007KT 9999 SCT018 BKN035 OVC100 16/13 Q1010</t>
        </is>
      </c>
      <c r="J381" t="inlineStr">
        <is>
          <t>s/d</t>
        </is>
      </c>
      <c r="K381" t="inlineStr">
        <is>
          <t>SADM 161900Z 23007KT 9999 SCT018 BKN035 OVC100 16/13 Q1010</t>
        </is>
      </c>
      <c r="L381" t="inlineStr">
        <is>
          <t>-</t>
        </is>
      </c>
    </row>
    <row r="382">
      <c r="A382" t="n">
        <v>4625020</v>
      </c>
      <c r="B382" s="126" t="n">
        <v>46250</v>
      </c>
      <c r="C382" t="n">
        <v>20</v>
      </c>
      <c r="D382" t="inlineStr">
        <is>
          <t>20 a 21</t>
        </is>
      </c>
      <c r="E382" t="inlineStr">
        <is>
          <t>VMC</t>
        </is>
      </c>
      <c r="F382" t="inlineStr">
        <is>
          <t>ILIM</t>
        </is>
      </c>
      <c r="G382" t="n">
        <v>10000</v>
      </c>
      <c r="H382" t="inlineStr">
        <is>
          <t>NO</t>
        </is>
      </c>
      <c r="I382" t="inlineStr">
        <is>
          <t>SADM 162000Z 20010KT 9999 SCT015 BKN100 17/13 Q1010</t>
        </is>
      </c>
      <c r="J382" t="inlineStr">
        <is>
          <t>s/d</t>
        </is>
      </c>
      <c r="K382" t="inlineStr">
        <is>
          <t>SADM 162000Z 20010KT 9999 SCT015 BKN100 17/13 Q1010</t>
        </is>
      </c>
      <c r="L382" t="inlineStr">
        <is>
          <t>-</t>
        </is>
      </c>
    </row>
    <row r="383">
      <c r="A383" t="n">
        <v>4625021</v>
      </c>
      <c r="B383" s="126" t="n">
        <v>46250</v>
      </c>
      <c r="C383" t="n">
        <v>21</v>
      </c>
      <c r="D383" t="inlineStr">
        <is>
          <t>21 a 22</t>
        </is>
      </c>
      <c r="E383" t="inlineStr">
        <is>
          <t>VMC</t>
        </is>
      </c>
      <c r="F383" t="inlineStr">
        <is>
          <t>ILIM</t>
        </is>
      </c>
      <c r="G383" t="n">
        <v>10000</v>
      </c>
      <c r="H383" t="inlineStr">
        <is>
          <t>NO</t>
        </is>
      </c>
      <c r="I383" t="inlineStr">
        <is>
          <t>SADM 162100Z 20006KT 9999 SCT018 BKN100 16/13 Q1010</t>
        </is>
      </c>
      <c r="J383" t="inlineStr">
        <is>
          <t>s/d</t>
        </is>
      </c>
      <c r="K383" t="inlineStr">
        <is>
          <t>SADM 162100Z 20006KT 9999 SCT018 BKN100 16/13 Q1010</t>
        </is>
      </c>
      <c r="L383" t="inlineStr">
        <is>
          <t>-</t>
        </is>
      </c>
    </row>
    <row r="384">
      <c r="A384" t="n">
        <v>4625022</v>
      </c>
      <c r="B384" s="126" t="n">
        <v>46250</v>
      </c>
      <c r="C384" t="n">
        <v>22</v>
      </c>
      <c r="D384" t="inlineStr">
        <is>
          <t>22 a 23</t>
        </is>
      </c>
      <c r="E384" t="inlineStr">
        <is>
          <t>VMC</t>
        </is>
      </c>
      <c r="F384" t="inlineStr">
        <is>
          <t>ILIM</t>
        </is>
      </c>
      <c r="G384" t="inlineStr">
        <is>
          <t>ILIM</t>
        </is>
      </c>
      <c r="H384" t="inlineStr">
        <is>
          <t>NO</t>
        </is>
      </c>
      <c r="I384" t="inlineStr">
        <is>
          <t>SADM 162200Z 20006KT 9999 SCT035 14/11 Q1011</t>
        </is>
      </c>
      <c r="J384" t="inlineStr">
        <is>
          <t>s/d</t>
        </is>
      </c>
      <c r="K384" t="inlineStr">
        <is>
          <t>SADM 162200Z 20006KT 9999 SCT035 14/11 Q1011</t>
        </is>
      </c>
      <c r="L384" t="inlineStr">
        <is>
          <t>-</t>
        </is>
      </c>
    </row>
    <row r="385">
      <c r="A385" s="127" t="n">
        <v>4625023</v>
      </c>
      <c r="B385" s="128" t="n">
        <v>46250</v>
      </c>
      <c r="C385" s="127" t="n">
        <v>23</v>
      </c>
      <c r="D385" s="127" t="inlineStr">
        <is>
          <t>23 a 00</t>
        </is>
      </c>
      <c r="E385" s="127" t="inlineStr">
        <is>
          <t>IMC</t>
        </is>
      </c>
      <c r="F385" s="127" t="n">
        <v>3500</v>
      </c>
      <c r="G385" s="127" t="n">
        <v>2800</v>
      </c>
      <c r="H385" s="127" t="inlineStr">
        <is>
          <t>NO</t>
        </is>
      </c>
      <c r="I385" s="127" t="inlineStr">
        <is>
          <t>SADM 162300Z 18003KT 3500 FU OVC028 15/13 Q1012</t>
        </is>
      </c>
      <c r="J385" s="127" t="inlineStr">
        <is>
          <t>vis 3500 m</t>
        </is>
      </c>
      <c r="K385" s="127" t="inlineStr">
        <is>
          <t>SADM 162300Z 18003KT 3500 FU OVC028 15/13 Q1012</t>
        </is>
      </c>
      <c r="L385" s="127" t="inlineStr">
        <is>
          <t>-</t>
        </is>
      </c>
    </row>
    <row r="386">
      <c r="A386" t="n">
        <v>4625100</v>
      </c>
      <c r="B386" s="126" t="n">
        <v>46251</v>
      </c>
      <c r="C386" t="n">
        <v>0</v>
      </c>
      <c r="D386" t="inlineStr">
        <is>
          <t>00 a 01</t>
        </is>
      </c>
      <c r="E386" t="inlineStr">
        <is>
          <t>VMC</t>
        </is>
      </c>
      <c r="F386" t="inlineStr">
        <is>
          <t>ILIM</t>
        </is>
      </c>
      <c r="G386" t="n">
        <v>3100</v>
      </c>
      <c r="H386" t="inlineStr">
        <is>
          <t>NO</t>
        </is>
      </c>
      <c r="I386" t="inlineStr">
        <is>
          <t>SADM 170000Z 14004KT 9999 OVC031 16/13 Q1013</t>
        </is>
      </c>
      <c r="J386" t="inlineStr">
        <is>
          <t>s/d</t>
        </is>
      </c>
      <c r="K386" t="inlineStr">
        <is>
          <t>SADM 170000Z 14004KT 9999 OVC031 16/13 Q1013</t>
        </is>
      </c>
      <c r="L386" t="inlineStr">
        <is>
          <t>-</t>
        </is>
      </c>
    </row>
    <row r="387">
      <c r="A387" t="n">
        <v>4625101</v>
      </c>
      <c r="B387" s="126" t="n">
        <v>46251</v>
      </c>
      <c r="C387" t="n">
        <v>1</v>
      </c>
      <c r="D387" t="inlineStr">
        <is>
          <t>01 a 02</t>
        </is>
      </c>
      <c r="E387" t="inlineStr">
        <is>
          <t>VMC</t>
        </is>
      </c>
      <c r="F387" t="inlineStr">
        <is>
          <t>ILIM</t>
        </is>
      </c>
      <c r="G387" t="inlineStr">
        <is>
          <t>ILIM</t>
        </is>
      </c>
      <c r="H387" t="inlineStr">
        <is>
          <t>NO</t>
        </is>
      </c>
      <c r="I387" t="inlineStr">
        <is>
          <t>SADM 170100Z 14004KT CAVOK 16/13 Q1014</t>
        </is>
      </c>
      <c r="J387" t="inlineStr">
        <is>
          <t>s/d</t>
        </is>
      </c>
      <c r="K387" t="inlineStr">
        <is>
          <t>SADM 170100Z 14004KT CAVOK 16/13 Q1014</t>
        </is>
      </c>
      <c r="L387" t="inlineStr">
        <is>
          <t>-</t>
        </is>
      </c>
    </row>
    <row r="388">
      <c r="A388" t="n">
        <v>4625102</v>
      </c>
      <c r="B388" s="126" t="n">
        <v>46251</v>
      </c>
      <c r="C388" t="n">
        <v>2</v>
      </c>
      <c r="D388" t="inlineStr">
        <is>
          <t>02 a 03</t>
        </is>
      </c>
      <c r="E388" t="inlineStr">
        <is>
          <t>VMC</t>
        </is>
      </c>
      <c r="F388" t="inlineStr">
        <is>
          <t>ILIM</t>
        </is>
      </c>
      <c r="G388" t="n">
        <v>2800</v>
      </c>
      <c r="H388" t="inlineStr">
        <is>
          <t>NO</t>
        </is>
      </c>
      <c r="I388" t="inlineStr">
        <is>
          <t>SADM 170200Z 14004KT 9999 BKN028 15/13 Q1014</t>
        </is>
      </c>
      <c r="J388" t="inlineStr">
        <is>
          <t>s/d</t>
        </is>
      </c>
      <c r="K388" t="inlineStr">
        <is>
          <t>SADM 170200Z 14004KT 9999 BKN028 15/13 Q1014</t>
        </is>
      </c>
      <c r="L388" t="inlineStr">
        <is>
          <t>-</t>
        </is>
      </c>
    </row>
    <row r="389">
      <c r="A389" t="n">
        <v>4625103</v>
      </c>
      <c r="B389" s="126" t="n">
        <v>46251</v>
      </c>
      <c r="C389" t="n">
        <v>3</v>
      </c>
      <c r="D389" t="inlineStr">
        <is>
          <t>03 a 04</t>
        </is>
      </c>
      <c r="E389" t="inlineStr">
        <is>
          <t>VMC</t>
        </is>
      </c>
      <c r="F389" t="inlineStr">
        <is>
          <t>ILIM</t>
        </is>
      </c>
      <c r="G389" t="n">
        <v>2900</v>
      </c>
      <c r="H389" t="inlineStr">
        <is>
          <t>NO</t>
        </is>
      </c>
      <c r="I389" t="inlineStr">
        <is>
          <t>SADM 170300Z 12002KT 9999 OVC029 15/13 Q1015</t>
        </is>
      </c>
      <c r="J389" t="inlineStr">
        <is>
          <t>s/d</t>
        </is>
      </c>
      <c r="K389" t="inlineStr">
        <is>
          <t>SADM 170300Z 12002KT 9999 OVC029 15/13 Q1015</t>
        </is>
      </c>
      <c r="L389" t="inlineStr">
        <is>
          <t>-</t>
        </is>
      </c>
    </row>
    <row r="390">
      <c r="A390" t="n">
        <v>4625104</v>
      </c>
      <c r="B390" s="126" t="n">
        <v>46251</v>
      </c>
      <c r="C390" t="n">
        <v>4</v>
      </c>
      <c r="D390" t="inlineStr">
        <is>
          <t>04 a 05</t>
        </is>
      </c>
      <c r="E390" t="inlineStr">
        <is>
          <t>VMC</t>
        </is>
      </c>
      <c r="F390" t="inlineStr">
        <is>
          <t>ILIM</t>
        </is>
      </c>
      <c r="G390" t="n">
        <v>2600</v>
      </c>
      <c r="H390" t="inlineStr">
        <is>
          <t>NO</t>
        </is>
      </c>
      <c r="I390" t="inlineStr">
        <is>
          <t>SADM 170400Z 20007KT 9999 OVC026 14/13 Q1015</t>
        </is>
      </c>
      <c r="J390" t="inlineStr">
        <is>
          <t>s/d</t>
        </is>
      </c>
      <c r="K390" t="inlineStr">
        <is>
          <t>SADM 170400Z 20007KT 9999 OVC026 14/13 Q1015</t>
        </is>
      </c>
      <c r="L390" t="inlineStr">
        <is>
          <t>-</t>
        </is>
      </c>
    </row>
    <row r="391">
      <c r="A391" t="n">
        <v>4625105</v>
      </c>
      <c r="B391" s="126" t="n">
        <v>46251</v>
      </c>
      <c r="C391" t="n">
        <v>5</v>
      </c>
      <c r="D391" t="inlineStr">
        <is>
          <t>05 a 06</t>
        </is>
      </c>
      <c r="E391" t="inlineStr">
        <is>
          <t>VMC</t>
        </is>
      </c>
      <c r="F391" t="inlineStr">
        <is>
          <t>ILIM</t>
        </is>
      </c>
      <c r="G391" t="n">
        <v>3100</v>
      </c>
      <c r="H391" t="inlineStr">
        <is>
          <t>NO</t>
        </is>
      </c>
      <c r="I391" t="inlineStr">
        <is>
          <t>SADM 170500Z 14007KT 9999 BKN031 14/12 Q1015</t>
        </is>
      </c>
      <c r="J391" t="inlineStr">
        <is>
          <t>s/d</t>
        </is>
      </c>
      <c r="K391" t="inlineStr">
        <is>
          <t>SADM 170500Z 14007KT 9999 BKN031 14/12 Q1015</t>
        </is>
      </c>
      <c r="L391" t="inlineStr">
        <is>
          <t>-</t>
        </is>
      </c>
    </row>
    <row r="392">
      <c r="A392" t="n">
        <v>4625106</v>
      </c>
      <c r="B392" s="126" t="n">
        <v>46251</v>
      </c>
      <c r="C392" t="n">
        <v>6</v>
      </c>
      <c r="D392" t="inlineStr">
        <is>
          <t>06 a 07</t>
        </is>
      </c>
      <c r="E392" t="inlineStr">
        <is>
          <t>VMC</t>
        </is>
      </c>
      <c r="F392" t="inlineStr">
        <is>
          <t>ILIM</t>
        </is>
      </c>
      <c r="G392" t="n">
        <v>10000</v>
      </c>
      <c r="H392" t="inlineStr">
        <is>
          <t>NO</t>
        </is>
      </c>
      <c r="I392" t="inlineStr">
        <is>
          <t>SADM 170600Z 16006KT 9999 FEW031 BKN100 14/12 Q1015</t>
        </is>
      </c>
      <c r="J392" t="inlineStr">
        <is>
          <t>s/d</t>
        </is>
      </c>
      <c r="K392" t="inlineStr">
        <is>
          <t>SADM 170600Z 16006KT 9999 FEW031 BKN100 14/12 Q1015</t>
        </is>
      </c>
      <c r="L392" t="inlineStr">
        <is>
          <t>-</t>
        </is>
      </c>
    </row>
    <row r="393">
      <c r="A393" t="n">
        <v>4625107</v>
      </c>
      <c r="B393" s="126" t="n">
        <v>46251</v>
      </c>
      <c r="C393" t="n">
        <v>7</v>
      </c>
      <c r="D393" t="inlineStr">
        <is>
          <t>07 a 08</t>
        </is>
      </c>
      <c r="E393" t="inlineStr">
        <is>
          <t>VMC</t>
        </is>
      </c>
      <c r="F393" t="inlineStr">
        <is>
          <t>ILIM</t>
        </is>
      </c>
      <c r="G393" t="n">
        <v>10000</v>
      </c>
      <c r="H393" t="inlineStr">
        <is>
          <t>NO</t>
        </is>
      </c>
      <c r="I393" t="inlineStr">
        <is>
          <t>SADM 170700Z 18010KT 9999 FEW012 BKN100 BKN200 14/12 Q1014</t>
        </is>
      </c>
      <c r="J393" t="inlineStr">
        <is>
          <t>s/d</t>
        </is>
      </c>
      <c r="K393" t="inlineStr">
        <is>
          <t>SADM 170700Z 18010KT 9999 FEW012 BKN100 BKN200 14/12 Q1014</t>
        </is>
      </c>
      <c r="L393" t="inlineStr">
        <is>
          <t>-</t>
        </is>
      </c>
    </row>
    <row r="394">
      <c r="A394" t="n">
        <v>4625108</v>
      </c>
      <c r="B394" s="126" t="n">
        <v>46251</v>
      </c>
      <c r="C394" t="n">
        <v>8</v>
      </c>
      <c r="D394" t="inlineStr">
        <is>
          <t>08 a 09</t>
        </is>
      </c>
      <c r="E394" t="inlineStr">
        <is>
          <t>VMC</t>
        </is>
      </c>
      <c r="F394" t="inlineStr">
        <is>
          <t>ILIM</t>
        </is>
      </c>
      <c r="G394" t="n">
        <v>20000</v>
      </c>
      <c r="H394" t="inlineStr">
        <is>
          <t>NO</t>
        </is>
      </c>
      <c r="I394" t="inlineStr">
        <is>
          <t>SADM 170800Z 11011KT 9999 FEW012 SCT100 BKN200 13/12 Q1013</t>
        </is>
      </c>
      <c r="J394" t="inlineStr">
        <is>
          <t>s/d</t>
        </is>
      </c>
      <c r="K394" t="inlineStr">
        <is>
          <t>SADM 170800Z 11011KT 9999 FEW012 SCT100 BKN200 13/12 Q1013</t>
        </is>
      </c>
      <c r="L394" t="inlineStr">
        <is>
          <t>-</t>
        </is>
      </c>
    </row>
    <row r="395">
      <c r="A395" t="n">
        <v>4625109</v>
      </c>
      <c r="B395" s="126" t="n">
        <v>46251</v>
      </c>
      <c r="C395" t="n">
        <v>9</v>
      </c>
      <c r="D395" t="inlineStr">
        <is>
          <t>09 a 10</t>
        </is>
      </c>
      <c r="E395" t="inlineStr">
        <is>
          <t>VMC</t>
        </is>
      </c>
      <c r="F395" t="inlineStr">
        <is>
          <t>ILIM</t>
        </is>
      </c>
      <c r="G395" t="inlineStr">
        <is>
          <t>ILIM</t>
        </is>
      </c>
      <c r="H395" t="inlineStr">
        <is>
          <t>NO</t>
        </is>
      </c>
      <c r="I395" t="inlineStr">
        <is>
          <t>SADM 170900Z 14008KT CAVOK 13/11 Q1014</t>
        </is>
      </c>
      <c r="J395" t="inlineStr">
        <is>
          <t>s/d</t>
        </is>
      </c>
      <c r="K395" t="inlineStr">
        <is>
          <t>SADM 170900Z 14008KT CAVOK 13/11 Q1014</t>
        </is>
      </c>
      <c r="L395" t="inlineStr">
        <is>
          <t>-</t>
        </is>
      </c>
    </row>
    <row r="396">
      <c r="A396" s="127" t="n">
        <v>4625110</v>
      </c>
      <c r="B396" s="128" t="n">
        <v>46251</v>
      </c>
      <c r="C396" s="127" t="n">
        <v>10</v>
      </c>
      <c r="D396" s="127" t="inlineStr">
        <is>
          <t>10 a 11</t>
        </is>
      </c>
      <c r="E396" s="127" t="inlineStr">
        <is>
          <t>IMC</t>
        </is>
      </c>
      <c r="F396" s="127" t="inlineStr">
        <is>
          <t>ILIM</t>
        </is>
      </c>
      <c r="G396" s="127" t="n">
        <v>1100</v>
      </c>
      <c r="H396" s="127" t="inlineStr">
        <is>
          <t>NO</t>
        </is>
      </c>
      <c r="I396" s="127" t="inlineStr">
        <is>
          <t>SADM 171000Z 14013KT 9999 OVC011 12/11 Q1016</t>
        </is>
      </c>
      <c r="J396" s="127" t="inlineStr">
        <is>
          <t>techo 1100 ft</t>
        </is>
      </c>
      <c r="K396" s="127" t="inlineStr">
        <is>
          <t>SADM 171000Z 14013KT 9999 OVC011 12/11 Q1016</t>
        </is>
      </c>
      <c r="L396" s="127" t="inlineStr">
        <is>
          <t>-</t>
        </is>
      </c>
    </row>
    <row r="397">
      <c r="A397" s="127" t="n">
        <v>4625111</v>
      </c>
      <c r="B397" s="128" t="n">
        <v>46251</v>
      </c>
      <c r="C397" s="127" t="n">
        <v>11</v>
      </c>
      <c r="D397" s="127" t="inlineStr">
        <is>
          <t>11 a 12</t>
        </is>
      </c>
      <c r="E397" s="127" t="inlineStr">
        <is>
          <t>IMC</t>
        </is>
      </c>
      <c r="F397" s="127" t="inlineStr">
        <is>
          <t>ILIM</t>
        </is>
      </c>
      <c r="G397" s="127" t="n">
        <v>1300</v>
      </c>
      <c r="H397" s="127" t="inlineStr">
        <is>
          <t>NO</t>
        </is>
      </c>
      <c r="I397" s="127" t="inlineStr">
        <is>
          <t>SADM 171100Z 14010KT 9999 OVC013 11/10 Q1016</t>
        </is>
      </c>
      <c r="J397" s="127" t="inlineStr">
        <is>
          <t>techo 1300 ft</t>
        </is>
      </c>
      <c r="K397" s="127" t="inlineStr">
        <is>
          <t>SADM 171100Z 14010KT 9999 OVC013 11/10 Q1016</t>
        </is>
      </c>
      <c r="L397" s="127" t="inlineStr">
        <is>
          <t>-</t>
        </is>
      </c>
    </row>
    <row r="398">
      <c r="A398" s="127" t="n">
        <v>4625112</v>
      </c>
      <c r="B398" s="128" t="n">
        <v>46251</v>
      </c>
      <c r="C398" s="127" t="n">
        <v>12</v>
      </c>
      <c r="D398" s="127" t="inlineStr">
        <is>
          <t>12 a 13</t>
        </is>
      </c>
      <c r="E398" s="127" t="inlineStr">
        <is>
          <t>IMC</t>
        </is>
      </c>
      <c r="F398" s="127" t="inlineStr">
        <is>
          <t>ILIM</t>
        </is>
      </c>
      <c r="G398" s="127" t="n">
        <v>1300</v>
      </c>
      <c r="H398" s="127" t="inlineStr">
        <is>
          <t>NO</t>
        </is>
      </c>
      <c r="I398" s="127" t="inlineStr">
        <is>
          <t>SADM 171200Z 14010KT 9999 OVC013 12/09 Q1017</t>
        </is>
      </c>
      <c r="J398" s="127" t="inlineStr">
        <is>
          <t>techo 1300 ft</t>
        </is>
      </c>
      <c r="K398" s="127" t="inlineStr">
        <is>
          <t>SADM 171200Z 14010KT 9999 OVC013 12/09 Q1017</t>
        </is>
      </c>
      <c r="L398" s="127" t="inlineStr">
        <is>
          <t>-</t>
        </is>
      </c>
    </row>
    <row r="399">
      <c r="A399" s="127" t="n">
        <v>4625113</v>
      </c>
      <c r="B399" s="128" t="n">
        <v>46251</v>
      </c>
      <c r="C399" s="127" t="n">
        <v>13</v>
      </c>
      <c r="D399" s="127" t="inlineStr">
        <is>
          <t>13 a 14</t>
        </is>
      </c>
      <c r="E399" s="127" t="inlineStr">
        <is>
          <t>IMC</t>
        </is>
      </c>
      <c r="F399" s="127" t="inlineStr">
        <is>
          <t>ILIM</t>
        </is>
      </c>
      <c r="G399" s="127" t="n">
        <v>1000</v>
      </c>
      <c r="H399" s="127" t="inlineStr">
        <is>
          <t>NO</t>
        </is>
      </c>
      <c r="I399" s="127" t="inlineStr">
        <is>
          <t>SADM 171300Z 16010KT 9999 OVC010 12/09 Q1018</t>
        </is>
      </c>
      <c r="J399" s="127" t="inlineStr">
        <is>
          <t>techo 1000 ft</t>
        </is>
      </c>
      <c r="K399" s="127" t="inlineStr">
        <is>
          <t>SADM 171300Z 16010KT 9999 OVC010 12/09 Q1018</t>
        </is>
      </c>
      <c r="L399" s="127" t="inlineStr">
        <is>
          <t>-</t>
        </is>
      </c>
    </row>
    <row r="400">
      <c r="A400" s="127" t="n">
        <v>4625114</v>
      </c>
      <c r="B400" s="128" t="n">
        <v>46251</v>
      </c>
      <c r="C400" s="127" t="n">
        <v>14</v>
      </c>
      <c r="D400" s="127" t="inlineStr">
        <is>
          <t>14 a 15</t>
        </is>
      </c>
      <c r="E400" s="127" t="inlineStr">
        <is>
          <t>IMC</t>
        </is>
      </c>
      <c r="F400" s="127" t="inlineStr">
        <is>
          <t>ILIM</t>
        </is>
      </c>
      <c r="G400" s="127" t="n">
        <v>1000</v>
      </c>
      <c r="H400" s="127" t="inlineStr">
        <is>
          <t>NO</t>
        </is>
      </c>
      <c r="I400" s="127" t="inlineStr">
        <is>
          <t>SADM 171400Z 16010KT 9999 OVC010 13/10 Q1018</t>
        </is>
      </c>
      <c r="J400" s="127" t="inlineStr">
        <is>
          <t>techo 1000 ft</t>
        </is>
      </c>
      <c r="K400" s="127" t="inlineStr">
        <is>
          <t>SADM 171400Z 16010KT 9999 OVC010 13/10 Q1018</t>
        </is>
      </c>
      <c r="L400" s="127" t="inlineStr">
        <is>
          <t>-</t>
        </is>
      </c>
    </row>
    <row r="401">
      <c r="A401" s="127" t="n">
        <v>4625115</v>
      </c>
      <c r="B401" s="128" t="n">
        <v>46251</v>
      </c>
      <c r="C401" s="127" t="n">
        <v>15</v>
      </c>
      <c r="D401" s="127" t="inlineStr">
        <is>
          <t>15 a 16</t>
        </is>
      </c>
      <c r="E401" s="127" t="inlineStr">
        <is>
          <t>IMC</t>
        </is>
      </c>
      <c r="F401" s="127" t="inlineStr">
        <is>
          <t>ILIM</t>
        </is>
      </c>
      <c r="G401" s="127" t="n">
        <v>1000</v>
      </c>
      <c r="H401" s="127" t="inlineStr">
        <is>
          <t>NO</t>
        </is>
      </c>
      <c r="I401" s="127" t="inlineStr">
        <is>
          <t>COR SADM 171500Z 14013KT 9999 OVC010 12/10 Q1018</t>
        </is>
      </c>
      <c r="J401" s="127" t="inlineStr">
        <is>
          <t>techo 1000 ft</t>
        </is>
      </c>
      <c r="K401" s="127" t="inlineStr">
        <is>
          <t>COR SADM 171500Z 14013KT 9999 OVC010 12/10 Q1018</t>
        </is>
      </c>
      <c r="L401" s="127" t="inlineStr">
        <is>
          <t>-</t>
        </is>
      </c>
    </row>
    <row r="402">
      <c r="A402" s="127" t="n">
        <v>4625116</v>
      </c>
      <c r="B402" s="128" t="n">
        <v>46251</v>
      </c>
      <c r="C402" s="127" t="n">
        <v>16</v>
      </c>
      <c r="D402" s="127" t="inlineStr">
        <is>
          <t>16 a 17</t>
        </is>
      </c>
      <c r="E402" s="127" t="inlineStr">
        <is>
          <t>IMC</t>
        </is>
      </c>
      <c r="F402" s="127" t="inlineStr">
        <is>
          <t>ILIM</t>
        </is>
      </c>
      <c r="G402" s="127" t="n">
        <v>1400</v>
      </c>
      <c r="H402" s="127" t="inlineStr">
        <is>
          <t>NO</t>
        </is>
      </c>
      <c r="I402" s="127" t="inlineStr">
        <is>
          <t>SADM 171600Z 14011KT 9999 OVC014 12/09 Q1018</t>
        </is>
      </c>
      <c r="J402" s="127" t="inlineStr">
        <is>
          <t>techo 1400 ft</t>
        </is>
      </c>
      <c r="K402" s="127" t="inlineStr">
        <is>
          <t>SADM 171600Z 14011KT 9999 OVC014 12/09 Q1018</t>
        </is>
      </c>
      <c r="L402" s="127" t="inlineStr">
        <is>
          <t>-</t>
        </is>
      </c>
    </row>
    <row r="403">
      <c r="A403" t="n">
        <v>4625117</v>
      </c>
      <c r="B403" s="126" t="n">
        <v>46251</v>
      </c>
      <c r="C403" t="n">
        <v>17</v>
      </c>
      <c r="D403" t="inlineStr">
        <is>
          <t>17 a 18</t>
        </is>
      </c>
      <c r="E403" t="inlineStr">
        <is>
          <t>VMC</t>
        </is>
      </c>
      <c r="F403" t="inlineStr">
        <is>
          <t>ILIM</t>
        </is>
      </c>
      <c r="G403" t="n">
        <v>1900</v>
      </c>
      <c r="H403" t="inlineStr">
        <is>
          <t>NO</t>
        </is>
      </c>
      <c r="I403" t="inlineStr">
        <is>
          <t>SADM 171700Z 14010KT 9999 OVC019 11/09 Q1017</t>
        </is>
      </c>
      <c r="J403" t="inlineStr">
        <is>
          <t>s/d</t>
        </is>
      </c>
      <c r="K403" t="inlineStr">
        <is>
          <t>SADM 171700Z 14010KT 9999 OVC019 11/09 Q1017</t>
        </is>
      </c>
      <c r="L403" t="inlineStr">
        <is>
          <t>-</t>
        </is>
      </c>
    </row>
    <row r="404">
      <c r="A404" t="n">
        <v>4625118</v>
      </c>
      <c r="B404" s="126" t="n">
        <v>46251</v>
      </c>
      <c r="C404" t="n">
        <v>18</v>
      </c>
      <c r="D404" t="inlineStr">
        <is>
          <t>18 a 19</t>
        </is>
      </c>
      <c r="E404" t="inlineStr">
        <is>
          <t>VMC</t>
        </is>
      </c>
      <c r="F404" t="inlineStr">
        <is>
          <t>ILIM</t>
        </is>
      </c>
      <c r="G404" t="n">
        <v>1700</v>
      </c>
      <c r="H404" t="inlineStr">
        <is>
          <t>NO</t>
        </is>
      </c>
      <c r="I404" t="inlineStr">
        <is>
          <t>SADM 171800Z 16013KT 9999 OVC017 11/09 Q1016</t>
        </is>
      </c>
      <c r="J404" t="inlineStr">
        <is>
          <t>s/d</t>
        </is>
      </c>
      <c r="K404" t="inlineStr">
        <is>
          <t>SADM 171800Z 16013KT 9999 OVC017 11/09 Q1016</t>
        </is>
      </c>
      <c r="L404" t="inlineStr">
        <is>
          <t>-</t>
        </is>
      </c>
    </row>
    <row r="405">
      <c r="A405" t="n">
        <v>4625119</v>
      </c>
      <c r="B405" s="126" t="n">
        <v>46251</v>
      </c>
      <c r="C405" t="n">
        <v>19</v>
      </c>
      <c r="D405" t="inlineStr">
        <is>
          <t>19 a 20</t>
        </is>
      </c>
      <c r="E405" t="inlineStr">
        <is>
          <t>VMC</t>
        </is>
      </c>
      <c r="F405" t="inlineStr">
        <is>
          <t>ILIM</t>
        </is>
      </c>
      <c r="G405" t="n">
        <v>1900</v>
      </c>
      <c r="H405" t="inlineStr">
        <is>
          <t>NO</t>
        </is>
      </c>
      <c r="I405" t="inlineStr">
        <is>
          <t>SADM 171900Z 16011KT 9999 OVC019 12/09 Q1018</t>
        </is>
      </c>
      <c r="J405" t="inlineStr">
        <is>
          <t>s/d</t>
        </is>
      </c>
      <c r="K405" t="inlineStr">
        <is>
          <t>SADM 171900Z 16011KT 9999 OVC019 12/09 Q1018</t>
        </is>
      </c>
      <c r="L405" t="inlineStr">
        <is>
          <t>-</t>
        </is>
      </c>
    </row>
    <row r="406">
      <c r="A406" t="n">
        <v>4625120</v>
      </c>
      <c r="B406" s="126" t="n">
        <v>46251</v>
      </c>
      <c r="C406" t="n">
        <v>20</v>
      </c>
      <c r="D406" t="inlineStr">
        <is>
          <t>20 a 21</t>
        </is>
      </c>
      <c r="E406" t="inlineStr">
        <is>
          <t>VMC</t>
        </is>
      </c>
      <c r="F406" t="inlineStr">
        <is>
          <t>ILIM</t>
        </is>
      </c>
      <c r="G406" t="n">
        <v>1900</v>
      </c>
      <c r="H406" t="inlineStr">
        <is>
          <t>NO</t>
        </is>
      </c>
      <c r="I406" t="inlineStr">
        <is>
          <t>SADM 172000Z 14011KT 9999 OVC019 12/08 Q1019</t>
        </is>
      </c>
      <c r="J406" t="inlineStr">
        <is>
          <t>s/d</t>
        </is>
      </c>
      <c r="K406" t="inlineStr">
        <is>
          <t>SADM 172000Z 14011KT 9999 OVC019 12/08 Q1019</t>
        </is>
      </c>
      <c r="L406" t="inlineStr">
        <is>
          <t>-</t>
        </is>
      </c>
    </row>
    <row r="407">
      <c r="A407" t="n">
        <v>4625121</v>
      </c>
      <c r="B407" s="126" t="n">
        <v>46251</v>
      </c>
      <c r="C407" t="n">
        <v>21</v>
      </c>
      <c r="D407" t="inlineStr">
        <is>
          <t>21 a 22</t>
        </is>
      </c>
      <c r="E407" t="inlineStr">
        <is>
          <t>VMC</t>
        </is>
      </c>
      <c r="F407" t="inlineStr">
        <is>
          <t>ILIM</t>
        </is>
      </c>
      <c r="G407" t="n">
        <v>2400</v>
      </c>
      <c r="H407" t="inlineStr">
        <is>
          <t>NO</t>
        </is>
      </c>
      <c r="I407" t="inlineStr">
        <is>
          <t>SADM 172100Z 16011KT 9999 OVC024 12/09 Q1018</t>
        </is>
      </c>
      <c r="J407" t="inlineStr">
        <is>
          <t>s/d</t>
        </is>
      </c>
      <c r="K407" t="inlineStr">
        <is>
          <t>SADM 172100Z 16011KT 9999 OVC024 12/09 Q1018</t>
        </is>
      </c>
      <c r="L407" t="inlineStr">
        <is>
          <t>-</t>
        </is>
      </c>
    </row>
    <row r="408">
      <c r="A408" t="n">
        <v>4625122</v>
      </c>
      <c r="B408" s="126" t="n">
        <v>46251</v>
      </c>
      <c r="C408" t="n">
        <v>22</v>
      </c>
      <c r="D408" t="inlineStr">
        <is>
          <t>22 a 23</t>
        </is>
      </c>
      <c r="E408" t="inlineStr">
        <is>
          <t>VMC</t>
        </is>
      </c>
      <c r="F408" t="inlineStr">
        <is>
          <t>ILIM</t>
        </is>
      </c>
      <c r="G408" t="n">
        <v>2100</v>
      </c>
      <c r="H408" t="inlineStr">
        <is>
          <t>NO</t>
        </is>
      </c>
      <c r="I408" t="inlineStr">
        <is>
          <t>SADM 172200Z 16013KT 9999 OVC021 12/08 Q1018</t>
        </is>
      </c>
      <c r="J408" t="inlineStr">
        <is>
          <t>s/d</t>
        </is>
      </c>
      <c r="K408" t="inlineStr">
        <is>
          <t>SADM 172200Z 16013KT 9999 OVC021 12/08 Q1018</t>
        </is>
      </c>
      <c r="L408" t="inlineStr">
        <is>
          <t>-</t>
        </is>
      </c>
    </row>
    <row r="409">
      <c r="A409" t="n">
        <v>4625123</v>
      </c>
      <c r="B409" s="126" t="n">
        <v>46251</v>
      </c>
      <c r="C409" t="n">
        <v>23</v>
      </c>
      <c r="D409" t="inlineStr">
        <is>
          <t>23 a 00</t>
        </is>
      </c>
      <c r="E409" t="inlineStr">
        <is>
          <t>VMC</t>
        </is>
      </c>
      <c r="F409" t="inlineStr">
        <is>
          <t>ILIM</t>
        </is>
      </c>
      <c r="G409" t="n">
        <v>1900</v>
      </c>
      <c r="H409" t="inlineStr">
        <is>
          <t>NO</t>
        </is>
      </c>
      <c r="I409" t="inlineStr">
        <is>
          <t>SADM 172300Z 16014KT 9999 OVC019 12/08 Q1019</t>
        </is>
      </c>
      <c r="J409" t="inlineStr">
        <is>
          <t>s/d</t>
        </is>
      </c>
      <c r="K409" t="inlineStr">
        <is>
          <t>SADM 172300Z 16014KT 9999 OVC019 12/08 Q1019</t>
        </is>
      </c>
      <c r="L409" t="inlineStr">
        <is>
          <t>-</t>
        </is>
      </c>
    </row>
    <row r="410">
      <c r="A410" t="n">
        <v>4625200</v>
      </c>
      <c r="B410" s="126" t="n">
        <v>46252</v>
      </c>
      <c r="C410" t="n">
        <v>0</v>
      </c>
      <c r="D410" t="inlineStr">
        <is>
          <t>00 a 01</t>
        </is>
      </c>
      <c r="E410" t="inlineStr">
        <is>
          <t>VMC</t>
        </is>
      </c>
      <c r="F410" t="inlineStr">
        <is>
          <t>ILIM</t>
        </is>
      </c>
      <c r="G410" t="n">
        <v>2100</v>
      </c>
      <c r="H410" t="inlineStr">
        <is>
          <t>NO</t>
        </is>
      </c>
      <c r="I410" t="inlineStr">
        <is>
          <t>SADM 180000Z 14014KT 9999 OVC021 12/07 Q1019</t>
        </is>
      </c>
      <c r="J410" t="inlineStr">
        <is>
          <t>s/d</t>
        </is>
      </c>
      <c r="K410" t="inlineStr">
        <is>
          <t>SADM 180000Z 14014KT 9999 OVC021 12/07 Q1019</t>
        </is>
      </c>
      <c r="L410" t="inlineStr">
        <is>
          <t>-</t>
        </is>
      </c>
    </row>
    <row r="411">
      <c r="A411" t="n">
        <v>4625201</v>
      </c>
      <c r="B411" s="126" t="n">
        <v>46252</v>
      </c>
      <c r="C411" t="n">
        <v>1</v>
      </c>
      <c r="D411" t="inlineStr">
        <is>
          <t>01 a 02</t>
        </is>
      </c>
      <c r="E411" t="inlineStr">
        <is>
          <t>VMC</t>
        </is>
      </c>
      <c r="F411" t="inlineStr">
        <is>
          <t>ILIM</t>
        </is>
      </c>
      <c r="G411" t="n">
        <v>1800</v>
      </c>
      <c r="H411" t="inlineStr">
        <is>
          <t>NO</t>
        </is>
      </c>
      <c r="I411" t="inlineStr">
        <is>
          <t>SADM 180100Z 14014KT 9999 OVC018 11/06 Q1021</t>
        </is>
      </c>
      <c r="J411" t="inlineStr">
        <is>
          <t>s/d</t>
        </is>
      </c>
      <c r="K411" t="inlineStr">
        <is>
          <t>SADM 180100Z 14014KT 9999 OVC018 11/06 Q1021</t>
        </is>
      </c>
      <c r="L411" t="inlineStr">
        <is>
          <t>-</t>
        </is>
      </c>
    </row>
    <row r="412">
      <c r="A412" s="127" t="n">
        <v>4625202</v>
      </c>
      <c r="B412" s="128" t="n">
        <v>46252</v>
      </c>
      <c r="C412" s="127" t="n">
        <v>2</v>
      </c>
      <c r="D412" s="127" t="inlineStr">
        <is>
          <t>02 a 03</t>
        </is>
      </c>
      <c r="E412" s="127" t="inlineStr">
        <is>
          <t>IMC</t>
        </is>
      </c>
      <c r="F412" s="127" t="inlineStr">
        <is>
          <t>ILIM</t>
        </is>
      </c>
      <c r="G412" s="127" t="n">
        <v>1400</v>
      </c>
      <c r="H412" s="127" t="inlineStr">
        <is>
          <t>NO</t>
        </is>
      </c>
      <c r="I412" s="127" t="inlineStr">
        <is>
          <t>SADM 180200Z 16016KT 9999 BKN014 OVC019 10/07 Q1020</t>
        </is>
      </c>
      <c r="J412" s="127" t="inlineStr">
        <is>
          <t>techo 1400 ft</t>
        </is>
      </c>
      <c r="K412" s="127" t="inlineStr">
        <is>
          <t>SADM 180200Z 16016KT 9999 BKN014 OVC019 10/07 Q1020</t>
        </is>
      </c>
      <c r="L412" s="127" t="inlineStr">
        <is>
          <t>-</t>
        </is>
      </c>
    </row>
    <row r="413">
      <c r="A413" s="127" t="n">
        <v>4625203</v>
      </c>
      <c r="B413" s="128" t="n">
        <v>46252</v>
      </c>
      <c r="C413" s="127" t="n">
        <v>3</v>
      </c>
      <c r="D413" s="127" t="inlineStr">
        <is>
          <t>03 a 04</t>
        </is>
      </c>
      <c r="E413" s="127" t="inlineStr">
        <is>
          <t>IMC</t>
        </is>
      </c>
      <c r="F413" s="127" t="inlineStr">
        <is>
          <t>ILIM</t>
        </is>
      </c>
      <c r="G413" s="127" t="n">
        <v>1200</v>
      </c>
      <c r="H413" s="127" t="inlineStr">
        <is>
          <t>NO</t>
        </is>
      </c>
      <c r="I413" s="127" t="inlineStr">
        <is>
          <t>SADM 180300Z 16013KT 9999 OVC012 09/06 Q1020</t>
        </is>
      </c>
      <c r="J413" s="127" t="inlineStr">
        <is>
          <t>techo 1200 ft</t>
        </is>
      </c>
      <c r="K413" s="127" t="inlineStr">
        <is>
          <t>SADM 180300Z 16013KT 9999 OVC012 09/06 Q1020</t>
        </is>
      </c>
      <c r="L413" s="127" t="inlineStr">
        <is>
          <t>-</t>
        </is>
      </c>
    </row>
    <row r="414">
      <c r="A414" s="127" t="n">
        <v>4625204</v>
      </c>
      <c r="B414" s="128" t="n">
        <v>46252</v>
      </c>
      <c r="C414" s="127" t="n">
        <v>4</v>
      </c>
      <c r="D414" s="127" t="inlineStr">
        <is>
          <t>04 a 05</t>
        </is>
      </c>
      <c r="E414" s="127" t="inlineStr">
        <is>
          <t>IMC</t>
        </is>
      </c>
      <c r="F414" s="127" t="inlineStr">
        <is>
          <t>ILIM</t>
        </is>
      </c>
      <c r="G414" s="127" t="n">
        <v>1200</v>
      </c>
      <c r="H414" s="127" t="inlineStr">
        <is>
          <t>NO</t>
        </is>
      </c>
      <c r="I414" s="127" t="inlineStr">
        <is>
          <t>SADM 180400Z 16014KT 9999 OVC012 09/06 Q1020</t>
        </is>
      </c>
      <c r="J414" s="127" t="inlineStr">
        <is>
          <t>techo 1200 ft</t>
        </is>
      </c>
      <c r="K414" s="127" t="inlineStr">
        <is>
          <t>SADM 180400Z 16014KT 9999 OVC012 09/06 Q1020</t>
        </is>
      </c>
      <c r="L414" s="127" t="inlineStr">
        <is>
          <t>-</t>
        </is>
      </c>
    </row>
    <row r="415">
      <c r="A415" s="127" t="n">
        <v>4625205</v>
      </c>
      <c r="B415" s="128" t="n">
        <v>46252</v>
      </c>
      <c r="C415" s="127" t="n">
        <v>5</v>
      </c>
      <c r="D415" s="127" t="inlineStr">
        <is>
          <t>05 a 06</t>
        </is>
      </c>
      <c r="E415" s="127" t="inlineStr">
        <is>
          <t>IMC</t>
        </is>
      </c>
      <c r="F415" s="127" t="inlineStr">
        <is>
          <t>ILIM</t>
        </is>
      </c>
      <c r="G415" s="127" t="n">
        <v>1200</v>
      </c>
      <c r="H415" s="127" t="inlineStr">
        <is>
          <t>NO</t>
        </is>
      </c>
      <c r="I415" s="127" t="inlineStr">
        <is>
          <t>SADM 180500Z 16013KT 9999 OVC012 09/05 Q1020</t>
        </is>
      </c>
      <c r="J415" s="127" t="inlineStr">
        <is>
          <t>techo 1200 ft</t>
        </is>
      </c>
      <c r="K415" s="127" t="inlineStr">
        <is>
          <t>SADM 180500Z 16013KT 9999 OVC012 09/05 Q1020</t>
        </is>
      </c>
      <c r="L415" s="127" t="inlineStr">
        <is>
          <t>-</t>
        </is>
      </c>
    </row>
    <row r="416">
      <c r="A416" s="127" t="n">
        <v>4625206</v>
      </c>
      <c r="B416" s="128" t="n">
        <v>46252</v>
      </c>
      <c r="C416" s="127" t="n">
        <v>6</v>
      </c>
      <c r="D416" s="127" t="inlineStr">
        <is>
          <t>06 a 07</t>
        </is>
      </c>
      <c r="E416" s="127" t="inlineStr">
        <is>
          <t>IMC</t>
        </is>
      </c>
      <c r="F416" s="127" t="inlineStr">
        <is>
          <t>ILIM</t>
        </is>
      </c>
      <c r="G416" s="127" t="n">
        <v>900</v>
      </c>
      <c r="H416" s="127" t="inlineStr">
        <is>
          <t>NO</t>
        </is>
      </c>
      <c r="I416" s="127" t="inlineStr">
        <is>
          <t>SADM 180600Z 14011KT 9999 OVC009 08/05 Q1020</t>
        </is>
      </c>
      <c r="J416" s="127" t="inlineStr">
        <is>
          <t>techo 900 ft</t>
        </is>
      </c>
      <c r="K416" s="127" t="inlineStr">
        <is>
          <t>SADM 180600Z 14011KT 9999 OVC009 08/05 Q1020</t>
        </is>
      </c>
      <c r="L416" s="127" t="inlineStr">
        <is>
          <t>-</t>
        </is>
      </c>
    </row>
    <row r="417">
      <c r="A417" s="127" t="n">
        <v>4625207</v>
      </c>
      <c r="B417" s="128" t="n">
        <v>46252</v>
      </c>
      <c r="C417" s="127" t="n">
        <v>7</v>
      </c>
      <c r="D417" s="127" t="inlineStr">
        <is>
          <t>07 a 08</t>
        </is>
      </c>
      <c r="E417" s="127" t="inlineStr">
        <is>
          <t>IMC</t>
        </is>
      </c>
      <c r="F417" s="127" t="inlineStr">
        <is>
          <t>ILIM</t>
        </is>
      </c>
      <c r="G417" s="127" t="n">
        <v>900</v>
      </c>
      <c r="H417" s="127" t="inlineStr">
        <is>
          <t>NO</t>
        </is>
      </c>
      <c r="I417" s="127" t="inlineStr">
        <is>
          <t>SADM 180700Z 14010KT 9999 OVC009 08/06 Q1021</t>
        </is>
      </c>
      <c r="J417" s="127" t="inlineStr">
        <is>
          <t>techo 900 ft</t>
        </is>
      </c>
      <c r="K417" s="127" t="inlineStr">
        <is>
          <t>SADM 180700Z 14010KT 9999 OVC009 08/06 Q1021</t>
        </is>
      </c>
      <c r="L417" s="127" t="inlineStr">
        <is>
          <t>-</t>
        </is>
      </c>
    </row>
    <row r="418">
      <c r="A418" s="127" t="n">
        <v>4625208</v>
      </c>
      <c r="B418" s="128" t="n">
        <v>46252</v>
      </c>
      <c r="C418" s="127" t="n">
        <v>8</v>
      </c>
      <c r="D418" s="127" t="inlineStr">
        <is>
          <t>08 a 09</t>
        </is>
      </c>
      <c r="E418" s="127" t="inlineStr">
        <is>
          <t>IMC</t>
        </is>
      </c>
      <c r="F418" s="127" t="inlineStr">
        <is>
          <t>ILIM</t>
        </is>
      </c>
      <c r="G418" s="127" t="n">
        <v>600</v>
      </c>
      <c r="H418" s="127" t="inlineStr">
        <is>
          <t>NO</t>
        </is>
      </c>
      <c r="I418" s="127" t="inlineStr">
        <is>
          <t>SADM 180800Z 16013KT 9999 OVC006 08/06 Q1020</t>
        </is>
      </c>
      <c r="J418" s="127" t="inlineStr">
        <is>
          <t>techo 600 ft</t>
        </is>
      </c>
      <c r="K418" s="127" t="inlineStr">
        <is>
          <t>SADM 180800Z 16013KT 9999 OVC006 08/06 Q1020</t>
        </is>
      </c>
      <c r="L418" s="127" t="inlineStr">
        <is>
          <t>-</t>
        </is>
      </c>
    </row>
    <row r="419">
      <c r="A419" s="127" t="n">
        <v>4625209</v>
      </c>
      <c r="B419" s="128" t="n">
        <v>46252</v>
      </c>
      <c r="C419" s="127" t="n">
        <v>9</v>
      </c>
      <c r="D419" s="127" t="inlineStr">
        <is>
          <t>09 a 10</t>
        </is>
      </c>
      <c r="E419" s="127" t="inlineStr">
        <is>
          <t>IMC</t>
        </is>
      </c>
      <c r="F419" s="127" t="inlineStr">
        <is>
          <t>ILIM</t>
        </is>
      </c>
      <c r="G419" s="127" t="n">
        <v>1200</v>
      </c>
      <c r="H419" s="127" t="inlineStr">
        <is>
          <t>NO</t>
        </is>
      </c>
      <c r="I419" s="127" t="inlineStr">
        <is>
          <t>SADM 180900Z 16013KT 9999 OVC012 08/05 Q1020</t>
        </is>
      </c>
      <c r="J419" s="127" t="inlineStr">
        <is>
          <t>techo 1200 ft</t>
        </is>
      </c>
      <c r="K419" s="127" t="inlineStr">
        <is>
          <t>SADM 180900Z 16013KT 9999 OVC012 08/05 Q1020</t>
        </is>
      </c>
      <c r="L419" s="127" t="inlineStr">
        <is>
          <t>-</t>
        </is>
      </c>
    </row>
    <row r="420">
      <c r="A420" s="127" t="n">
        <v>4625210</v>
      </c>
      <c r="B420" s="128" t="n">
        <v>46252</v>
      </c>
      <c r="C420" s="127" t="n">
        <v>10</v>
      </c>
      <c r="D420" s="127" t="inlineStr">
        <is>
          <t>10 a 11</t>
        </is>
      </c>
      <c r="E420" s="127" t="inlineStr">
        <is>
          <t>IMC</t>
        </is>
      </c>
      <c r="F420" s="127" t="inlineStr">
        <is>
          <t>ILIM</t>
        </is>
      </c>
      <c r="G420" s="127" t="n">
        <v>900</v>
      </c>
      <c r="H420" s="127" t="inlineStr">
        <is>
          <t>NO</t>
        </is>
      </c>
      <c r="I420" s="127" t="inlineStr">
        <is>
          <t>SADM 181000Z 16011KT 9999 OVC009 08/05 Q1020</t>
        </is>
      </c>
      <c r="J420" s="127" t="inlineStr">
        <is>
          <t>techo 900 ft</t>
        </is>
      </c>
      <c r="K420" s="127" t="inlineStr">
        <is>
          <t>SADM 181000Z 16011KT 9999 OVC009 08/05 Q1020</t>
        </is>
      </c>
      <c r="L420" s="127" t="inlineStr">
        <is>
          <t>-</t>
        </is>
      </c>
    </row>
    <row r="421">
      <c r="A421" s="127" t="n">
        <v>4625211</v>
      </c>
      <c r="B421" s="128" t="n">
        <v>46252</v>
      </c>
      <c r="C421" s="127" t="n">
        <v>11</v>
      </c>
      <c r="D421" s="127" t="inlineStr">
        <is>
          <t>11 a 12</t>
        </is>
      </c>
      <c r="E421" s="127" t="inlineStr">
        <is>
          <t>IMC</t>
        </is>
      </c>
      <c r="F421" s="127" t="inlineStr">
        <is>
          <t>ILIM</t>
        </is>
      </c>
      <c r="G421" s="127" t="n">
        <v>900</v>
      </c>
      <c r="H421" s="127" t="inlineStr">
        <is>
          <t>NO</t>
        </is>
      </c>
      <c r="I421" s="127" t="inlineStr">
        <is>
          <t>SADM 181100Z 16008KT 9999 OVC009 08/05 Q1021</t>
        </is>
      </c>
      <c r="J421" s="127" t="inlineStr">
        <is>
          <t>techo 900 ft</t>
        </is>
      </c>
      <c r="K421" s="127" t="inlineStr">
        <is>
          <t>SADM 181100Z 16008KT 9999 OVC009 08/05 Q1021</t>
        </is>
      </c>
      <c r="L421" s="127" t="inlineStr">
        <is>
          <t>-</t>
        </is>
      </c>
    </row>
    <row r="422">
      <c r="A422" s="127" t="n">
        <v>4625212</v>
      </c>
      <c r="B422" s="128" t="n">
        <v>46252</v>
      </c>
      <c r="C422" s="127" t="n">
        <v>12</v>
      </c>
      <c r="D422" s="127" t="inlineStr">
        <is>
          <t>12 a 13</t>
        </is>
      </c>
      <c r="E422" s="127" t="inlineStr">
        <is>
          <t>IMC</t>
        </is>
      </c>
      <c r="F422" s="127" t="inlineStr">
        <is>
          <t>ILIM</t>
        </is>
      </c>
      <c r="G422" s="127" t="n">
        <v>900</v>
      </c>
      <c r="H422" s="127" t="inlineStr">
        <is>
          <t>SI</t>
        </is>
      </c>
      <c r="I422" s="127" t="inlineStr">
        <is>
          <t>SADM 181200Z 14011KT 9999 BKN009 OVC010 08/05 Q1022</t>
        </is>
      </c>
      <c r="J422" s="127" t="inlineStr">
        <is>
          <t>techo 900 ft</t>
        </is>
      </c>
      <c r="K422" s="127" t="inlineStr">
        <is>
          <t>SADM 181200Z 14011KT 9999 BKN009 OVC010 08/05 Q1022 || SADM 181222Z 15009KT 9999 FEW009 BKN010 OVC011 08/05 Q1022</t>
        </is>
      </c>
      <c r="L422" s="127" t="inlineStr">
        <is>
          <t>-</t>
        </is>
      </c>
    </row>
    <row r="423">
      <c r="A423" s="127" t="n">
        <v>4625213</v>
      </c>
      <c r="B423" s="128" t="n">
        <v>46252</v>
      </c>
      <c r="C423" s="127" t="n">
        <v>13</v>
      </c>
      <c r="D423" s="127" t="inlineStr">
        <is>
          <t>13 a 14</t>
        </is>
      </c>
      <c r="E423" s="127" t="inlineStr">
        <is>
          <t>IMC</t>
        </is>
      </c>
      <c r="F423" s="127" t="inlineStr">
        <is>
          <t>ILIM</t>
        </is>
      </c>
      <c r="G423" s="127" t="n">
        <v>1100</v>
      </c>
      <c r="H423" s="127" t="inlineStr">
        <is>
          <t>NO</t>
        </is>
      </c>
      <c r="I423" s="127" t="inlineStr">
        <is>
          <t>SADM 181300Z 14010KT 9999 BKN011 OVC013 08/05 Q1022</t>
        </is>
      </c>
      <c r="J423" s="127" t="inlineStr">
        <is>
          <t>techo 1100 ft</t>
        </is>
      </c>
      <c r="K423" s="127" t="inlineStr">
        <is>
          <t>SADM 181300Z 14010KT 9999 BKN011 OVC013 08/05 Q1022</t>
        </is>
      </c>
      <c r="L423" s="127" t="inlineStr">
        <is>
          <t>-</t>
        </is>
      </c>
    </row>
    <row r="424">
      <c r="A424" t="n">
        <v>4625214</v>
      </c>
      <c r="B424" s="126" t="n">
        <v>46252</v>
      </c>
      <c r="C424" t="n">
        <v>14</v>
      </c>
      <c r="D424" t="inlineStr">
        <is>
          <t>14 a 15</t>
        </is>
      </c>
      <c r="E424" t="inlineStr">
        <is>
          <t>VMC</t>
        </is>
      </c>
      <c r="F424" t="inlineStr">
        <is>
          <t>ILIM</t>
        </is>
      </c>
      <c r="G424" t="n">
        <v>10000</v>
      </c>
      <c r="H424" t="inlineStr">
        <is>
          <t>NO</t>
        </is>
      </c>
      <c r="I424" t="inlineStr">
        <is>
          <t>SADM 181400Z 14010KT 9999 SCT014 OVC100 09/04 Q1023</t>
        </is>
      </c>
      <c r="J424" t="inlineStr">
        <is>
          <t>s/d</t>
        </is>
      </c>
      <c r="K424" t="inlineStr">
        <is>
          <t>SADM 181400Z 14010KT 9999 SCT014 OVC100 09/04 Q1023</t>
        </is>
      </c>
      <c r="L424" t="inlineStr">
        <is>
          <t>-</t>
        </is>
      </c>
    </row>
    <row r="425">
      <c r="A425" t="n">
        <v>4625215</v>
      </c>
      <c r="B425" s="126" t="n">
        <v>46252</v>
      </c>
      <c r="C425" t="n">
        <v>15</v>
      </c>
      <c r="D425" t="inlineStr">
        <is>
          <t>15 a 16</t>
        </is>
      </c>
      <c r="E425" t="inlineStr">
        <is>
          <t>VMC</t>
        </is>
      </c>
      <c r="F425" t="inlineStr">
        <is>
          <t>ILIM</t>
        </is>
      </c>
      <c r="G425" t="n">
        <v>10000</v>
      </c>
      <c r="H425" t="inlineStr">
        <is>
          <t>NO</t>
        </is>
      </c>
      <c r="I425" t="inlineStr">
        <is>
          <t>SADM 181500Z 14009KT 9999 SCT015 OVC100 10/05 Q1022</t>
        </is>
      </c>
      <c r="J425" t="inlineStr">
        <is>
          <t>s/d</t>
        </is>
      </c>
      <c r="K425" t="inlineStr">
        <is>
          <t>SADM 181500Z 14009KT 9999 SCT015 OVC100 10/05 Q1022</t>
        </is>
      </c>
      <c r="L425" t="inlineStr">
        <is>
          <t>-</t>
        </is>
      </c>
    </row>
    <row r="426">
      <c r="A426" t="n">
        <v>4625216</v>
      </c>
      <c r="B426" s="126" t="n">
        <v>46252</v>
      </c>
      <c r="C426" t="n">
        <v>16</v>
      </c>
      <c r="D426" t="inlineStr">
        <is>
          <t>16 a 17</t>
        </is>
      </c>
      <c r="E426" t="inlineStr">
        <is>
          <t>VMC</t>
        </is>
      </c>
      <c r="F426" t="inlineStr">
        <is>
          <t>ILIM</t>
        </is>
      </c>
      <c r="G426" t="n">
        <v>1800</v>
      </c>
      <c r="H426" t="inlineStr">
        <is>
          <t>NO</t>
        </is>
      </c>
      <c r="I426" t="inlineStr">
        <is>
          <t>SADM 181600Z 18008KT 9999 BKN018 OVC100 10/06 Q1023</t>
        </is>
      </c>
      <c r="J426" t="inlineStr">
        <is>
          <t>s/d</t>
        </is>
      </c>
      <c r="K426" t="inlineStr">
        <is>
          <t>SADM 181600Z 18008KT 9999 BKN018 OVC100 10/06 Q1023</t>
        </is>
      </c>
      <c r="L426" t="inlineStr">
        <is>
          <t>-</t>
        </is>
      </c>
    </row>
    <row r="427">
      <c r="A427" t="n">
        <v>4625217</v>
      </c>
      <c r="B427" s="126" t="n">
        <v>46252</v>
      </c>
      <c r="C427" t="n">
        <v>17</v>
      </c>
      <c r="D427" t="inlineStr">
        <is>
          <t>17 a 18</t>
        </is>
      </c>
      <c r="E427" t="inlineStr">
        <is>
          <t>VMC</t>
        </is>
      </c>
      <c r="F427" t="inlineStr">
        <is>
          <t>ILIM</t>
        </is>
      </c>
      <c r="G427" t="n">
        <v>1800</v>
      </c>
      <c r="H427" t="inlineStr">
        <is>
          <t>NO</t>
        </is>
      </c>
      <c r="I427" t="inlineStr">
        <is>
          <t>SADM 181700Z 16009KT 9999 BKN018 OVC100 11/06 Q1023</t>
        </is>
      </c>
      <c r="J427" t="inlineStr">
        <is>
          <t>s/d</t>
        </is>
      </c>
      <c r="K427" t="inlineStr">
        <is>
          <t>SADM 181700Z 16009KT 9999 BKN018 OVC100 11/06 Q1023</t>
        </is>
      </c>
      <c r="L427" t="inlineStr">
        <is>
          <t>-</t>
        </is>
      </c>
    </row>
    <row r="428">
      <c r="A428" t="n">
        <v>4625218</v>
      </c>
      <c r="B428" s="126" t="n">
        <v>46252</v>
      </c>
      <c r="C428" t="n">
        <v>18</v>
      </c>
      <c r="D428" t="inlineStr">
        <is>
          <t>18 a 19</t>
        </is>
      </c>
      <c r="E428" t="inlineStr">
        <is>
          <t>VMC</t>
        </is>
      </c>
      <c r="F428" t="inlineStr">
        <is>
          <t>ILIM</t>
        </is>
      </c>
      <c r="G428" t="n">
        <v>2000</v>
      </c>
      <c r="H428" t="inlineStr">
        <is>
          <t>NO</t>
        </is>
      </c>
      <c r="I428" t="inlineStr">
        <is>
          <t>SADM 181800Z 14008KT 9999 BKN020 OVC100 11/06 Q1022</t>
        </is>
      </c>
      <c r="J428" t="inlineStr">
        <is>
          <t>s/d</t>
        </is>
      </c>
      <c r="K428" t="inlineStr">
        <is>
          <t>SADM 181800Z 14008KT 9999 BKN020 OVC100 11/06 Q1022</t>
        </is>
      </c>
      <c r="L428" t="inlineStr">
        <is>
          <t>-</t>
        </is>
      </c>
    </row>
    <row r="429">
      <c r="A429" t="n">
        <v>4625219</v>
      </c>
      <c r="B429" s="126" t="n">
        <v>46252</v>
      </c>
      <c r="C429" t="n">
        <v>19</v>
      </c>
      <c r="D429" t="inlineStr">
        <is>
          <t>19 a 20</t>
        </is>
      </c>
      <c r="E429" t="inlineStr">
        <is>
          <t>VMC</t>
        </is>
      </c>
      <c r="F429" t="inlineStr">
        <is>
          <t>ILIM</t>
        </is>
      </c>
      <c r="G429" t="n">
        <v>2100</v>
      </c>
      <c r="H429" t="inlineStr">
        <is>
          <t>NO</t>
        </is>
      </c>
      <c r="I429" t="inlineStr">
        <is>
          <t>SADM 181900Z 14007KT 9999 BKN021 SCT100 OVC200 12/06 Q1022</t>
        </is>
      </c>
      <c r="J429" t="inlineStr">
        <is>
          <t>s/d</t>
        </is>
      </c>
      <c r="K429" t="inlineStr">
        <is>
          <t>SADM 181900Z 14007KT 9999 BKN021 SCT100 OVC200 12/06 Q1022</t>
        </is>
      </c>
      <c r="L429" t="inlineStr">
        <is>
          <t>-</t>
        </is>
      </c>
    </row>
    <row r="430">
      <c r="A430" t="n">
        <v>4625220</v>
      </c>
      <c r="B430" s="126" t="n">
        <v>46252</v>
      </c>
      <c r="C430" t="n">
        <v>20</v>
      </c>
      <c r="D430" t="inlineStr">
        <is>
          <t>20 a 21</t>
        </is>
      </c>
      <c r="E430" t="inlineStr">
        <is>
          <t>VMC</t>
        </is>
      </c>
      <c r="F430" t="inlineStr">
        <is>
          <t>ILIM</t>
        </is>
      </c>
      <c r="G430" t="n">
        <v>20000</v>
      </c>
      <c r="H430" t="inlineStr">
        <is>
          <t>NO</t>
        </is>
      </c>
      <c r="I430" t="inlineStr">
        <is>
          <t>SADM 182000Z 14005KT 9999 SCT022 BKN200 12/06 Q1022</t>
        </is>
      </c>
      <c r="J430" t="inlineStr">
        <is>
          <t>s/d</t>
        </is>
      </c>
      <c r="K430" t="inlineStr">
        <is>
          <t>SADM 182000Z 14005KT 9999 SCT022 BKN200 12/06 Q1022</t>
        </is>
      </c>
      <c r="L430" t="inlineStr">
        <is>
          <t>-</t>
        </is>
      </c>
    </row>
    <row r="431">
      <c r="A431" t="n">
        <v>4625221</v>
      </c>
      <c r="B431" s="126" t="n">
        <v>46252</v>
      </c>
      <c r="C431" t="n">
        <v>21</v>
      </c>
      <c r="D431" t="inlineStr">
        <is>
          <t>21 a 22</t>
        </is>
      </c>
      <c r="E431" t="inlineStr">
        <is>
          <t>VMC</t>
        </is>
      </c>
      <c r="F431" t="inlineStr">
        <is>
          <t>ILIM</t>
        </is>
      </c>
      <c r="G431" t="n">
        <v>20000</v>
      </c>
      <c r="H431" t="inlineStr">
        <is>
          <t>NO</t>
        </is>
      </c>
      <c r="I431" t="inlineStr">
        <is>
          <t>SADM 182100Z 15008KT 9999 FEW025 FEW100 BKN200 11/05 Q1022</t>
        </is>
      </c>
      <c r="J431" t="inlineStr">
        <is>
          <t>s/d</t>
        </is>
      </c>
      <c r="K431" t="inlineStr">
        <is>
          <t>SADM 182100Z 15008KT 9999 FEW025 FEW100 BKN200 11/05 Q1022</t>
        </is>
      </c>
      <c r="L431" t="inlineStr">
        <is>
          <t>-</t>
        </is>
      </c>
    </row>
    <row r="432">
      <c r="A432" t="n">
        <v>4625222</v>
      </c>
      <c r="B432" s="126" t="n">
        <v>46252</v>
      </c>
      <c r="C432" t="n">
        <v>22</v>
      </c>
      <c r="D432" t="inlineStr">
        <is>
          <t>22 a 23</t>
        </is>
      </c>
      <c r="E432" t="inlineStr">
        <is>
          <t>VMC</t>
        </is>
      </c>
      <c r="F432" t="inlineStr">
        <is>
          <t>ILIM</t>
        </is>
      </c>
      <c r="G432" t="inlineStr">
        <is>
          <t>ILIM</t>
        </is>
      </c>
      <c r="H432" t="inlineStr">
        <is>
          <t>NO</t>
        </is>
      </c>
      <c r="I432" t="inlineStr">
        <is>
          <t>SADM 182200Z 14008KT CAVOK 11/05 Q1022</t>
        </is>
      </c>
      <c r="J432" t="inlineStr">
        <is>
          <t>s/d</t>
        </is>
      </c>
      <c r="K432" t="inlineStr">
        <is>
          <t>SADM 182200Z 14008KT CAVOK 11/05 Q1022</t>
        </is>
      </c>
      <c r="L432" t="inlineStr">
        <is>
          <t>-</t>
        </is>
      </c>
    </row>
    <row r="433">
      <c r="A433" t="n">
        <v>4625223</v>
      </c>
      <c r="B433" s="126" t="n">
        <v>46252</v>
      </c>
      <c r="C433" t="n">
        <v>23</v>
      </c>
      <c r="D433" t="inlineStr">
        <is>
          <t>23 a 00</t>
        </is>
      </c>
      <c r="E433" t="inlineStr">
        <is>
          <t>VMC</t>
        </is>
      </c>
      <c r="F433" t="inlineStr">
        <is>
          <t>ILIM</t>
        </is>
      </c>
      <c r="G433" t="inlineStr">
        <is>
          <t>ILIM</t>
        </is>
      </c>
      <c r="H433" t="inlineStr">
        <is>
          <t>NO</t>
        </is>
      </c>
      <c r="I433" t="inlineStr">
        <is>
          <t>SADM 182300Z 14005KT CAVOK 10/06 Q1023</t>
        </is>
      </c>
      <c r="J433" t="inlineStr">
        <is>
          <t>s/d</t>
        </is>
      </c>
      <c r="K433" t="inlineStr">
        <is>
          <t>SADM 182300Z 14005KT CAVOK 10/06 Q1023</t>
        </is>
      </c>
      <c r="L433" t="inlineStr">
        <is>
          <t>-</t>
        </is>
      </c>
    </row>
    <row r="434">
      <c r="A434" t="n">
        <v>4625300</v>
      </c>
      <c r="B434" s="126" t="n">
        <v>46253</v>
      </c>
      <c r="C434" t="n">
        <v>0</v>
      </c>
      <c r="D434" t="inlineStr">
        <is>
          <t>00 a 01</t>
        </is>
      </c>
      <c r="E434" t="inlineStr">
        <is>
          <t>VMC</t>
        </is>
      </c>
      <c r="F434" t="inlineStr">
        <is>
          <t>ILIM</t>
        </is>
      </c>
      <c r="G434" t="inlineStr">
        <is>
          <t>ILIM</t>
        </is>
      </c>
      <c r="H434" t="inlineStr">
        <is>
          <t>NO</t>
        </is>
      </c>
      <c r="I434" t="inlineStr">
        <is>
          <t>SADM 190000Z 14006KT CAVOK 10/06 Q1024</t>
        </is>
      </c>
      <c r="J434" t="inlineStr">
        <is>
          <t>s/d</t>
        </is>
      </c>
      <c r="K434" t="inlineStr">
        <is>
          <t>SADM 190000Z 14006KT CAVOK 10/06 Q1024</t>
        </is>
      </c>
      <c r="L434" t="inlineStr">
        <is>
          <t>-</t>
        </is>
      </c>
    </row>
    <row r="435">
      <c r="A435" t="n">
        <v>4625301</v>
      </c>
      <c r="B435" s="126" t="n">
        <v>46253</v>
      </c>
      <c r="C435" t="n">
        <v>1</v>
      </c>
      <c r="D435" t="inlineStr">
        <is>
          <t>01 a 02</t>
        </is>
      </c>
      <c r="E435" t="inlineStr">
        <is>
          <t>VMC</t>
        </is>
      </c>
      <c r="F435" t="inlineStr">
        <is>
          <t>ILIM</t>
        </is>
      </c>
      <c r="G435" t="inlineStr">
        <is>
          <t>ILIM</t>
        </is>
      </c>
      <c r="H435" t="inlineStr">
        <is>
          <t>NO</t>
        </is>
      </c>
      <c r="I435" t="inlineStr">
        <is>
          <t>SADM 190100Z 12003KT CAVOK 10/06 Q1024</t>
        </is>
      </c>
      <c r="J435" t="inlineStr">
        <is>
          <t>s/d</t>
        </is>
      </c>
      <c r="K435" t="inlineStr">
        <is>
          <t>SADM 190100Z 12003KT CAVOK 10/06 Q1024</t>
        </is>
      </c>
      <c r="L435" t="inlineStr">
        <is>
          <t>-</t>
        </is>
      </c>
    </row>
    <row r="436">
      <c r="A436" t="n">
        <v>4625302</v>
      </c>
      <c r="B436" s="126" t="n">
        <v>46253</v>
      </c>
      <c r="C436" t="n">
        <v>2</v>
      </c>
      <c r="D436" t="inlineStr">
        <is>
          <t>02 a 03</t>
        </is>
      </c>
      <c r="E436" t="inlineStr">
        <is>
          <t>VMC</t>
        </is>
      </c>
      <c r="F436" t="inlineStr">
        <is>
          <t>ILIM</t>
        </is>
      </c>
      <c r="G436" t="inlineStr">
        <is>
          <t>ILIM</t>
        </is>
      </c>
      <c r="H436" t="inlineStr">
        <is>
          <t>NO</t>
        </is>
      </c>
      <c r="I436" t="inlineStr">
        <is>
          <t>SADM 190200Z 14004KT CAVOK 10/05 Q1024</t>
        </is>
      </c>
      <c r="J436" t="inlineStr">
        <is>
          <t>s/d</t>
        </is>
      </c>
      <c r="K436" t="inlineStr">
        <is>
          <t>SADM 190200Z 14004KT CAVOK 10/05 Q1024</t>
        </is>
      </c>
      <c r="L436" t="inlineStr">
        <is>
          <t>-</t>
        </is>
      </c>
    </row>
    <row r="437">
      <c r="A437" t="n">
        <v>4625303</v>
      </c>
      <c r="B437" s="126" t="n">
        <v>46253</v>
      </c>
      <c r="C437" t="n">
        <v>3</v>
      </c>
      <c r="D437" t="inlineStr">
        <is>
          <t>03 a 04</t>
        </is>
      </c>
      <c r="E437" t="inlineStr">
        <is>
          <t>VMC</t>
        </is>
      </c>
      <c r="F437" t="inlineStr">
        <is>
          <t>ILIM</t>
        </is>
      </c>
      <c r="G437" t="inlineStr">
        <is>
          <t>ILIM</t>
        </is>
      </c>
      <c r="H437" t="inlineStr">
        <is>
          <t>NO</t>
        </is>
      </c>
      <c r="I437" t="inlineStr">
        <is>
          <t>SADM 190300Z 12004KT CAVOK 09/06 Q1023</t>
        </is>
      </c>
      <c r="J437" t="inlineStr">
        <is>
          <t>s/d</t>
        </is>
      </c>
      <c r="K437" t="inlineStr">
        <is>
          <t>SADM 190300Z 12004KT CAVOK 09/06 Q1023</t>
        </is>
      </c>
      <c r="L437" t="inlineStr">
        <is>
          <t>-</t>
        </is>
      </c>
    </row>
    <row r="438">
      <c r="A438" t="n">
        <v>4625304</v>
      </c>
      <c r="B438" s="126" t="n">
        <v>46253</v>
      </c>
      <c r="C438" t="n">
        <v>4</v>
      </c>
      <c r="D438" t="inlineStr">
        <is>
          <t>04 a 05</t>
        </is>
      </c>
      <c r="E438" t="inlineStr">
        <is>
          <t>VMC</t>
        </is>
      </c>
      <c r="F438" t="inlineStr">
        <is>
          <t>ILIM</t>
        </is>
      </c>
      <c r="G438" t="inlineStr">
        <is>
          <t>ILIM</t>
        </is>
      </c>
      <c r="H438" t="inlineStr">
        <is>
          <t>NO</t>
        </is>
      </c>
      <c r="I438" t="inlineStr">
        <is>
          <t>SADM 190400Z 14002KT CAVOK 09/06 Q1023</t>
        </is>
      </c>
      <c r="J438" t="inlineStr">
        <is>
          <t>s/d</t>
        </is>
      </c>
      <c r="K438" t="inlineStr">
        <is>
          <t>SADM 190400Z 14002KT CAVOK 09/06 Q1023</t>
        </is>
      </c>
      <c r="L438" t="inlineStr">
        <is>
          <t>-</t>
        </is>
      </c>
    </row>
    <row r="439">
      <c r="A439" t="n">
        <v>4625305</v>
      </c>
      <c r="B439" s="126" t="n">
        <v>46253</v>
      </c>
      <c r="C439" t="n">
        <v>5</v>
      </c>
      <c r="D439" t="inlineStr">
        <is>
          <t>05 a 06</t>
        </is>
      </c>
      <c r="E439" t="inlineStr">
        <is>
          <t>VMC</t>
        </is>
      </c>
      <c r="F439" t="inlineStr">
        <is>
          <t>ILIM</t>
        </is>
      </c>
      <c r="G439" t="inlineStr">
        <is>
          <t>ILIM</t>
        </is>
      </c>
      <c r="H439" t="inlineStr">
        <is>
          <t>NO</t>
        </is>
      </c>
      <c r="I439" t="inlineStr">
        <is>
          <t>SADM 190500Z 16002KT CAVOK 08/05 Q1023</t>
        </is>
      </c>
      <c r="J439" t="inlineStr">
        <is>
          <t>s/d</t>
        </is>
      </c>
      <c r="K439" t="inlineStr">
        <is>
          <t>SADM 190500Z 16002KT CAVOK 08/05 Q1023</t>
        </is>
      </c>
      <c r="L439" t="inlineStr">
        <is>
          <t>-</t>
        </is>
      </c>
    </row>
    <row r="440">
      <c r="A440" t="n">
        <v>4625306</v>
      </c>
      <c r="B440" s="126" t="n">
        <v>46253</v>
      </c>
      <c r="C440" t="n">
        <v>6</v>
      </c>
      <c r="D440" t="inlineStr">
        <is>
          <t>06 a 07</t>
        </is>
      </c>
      <c r="E440" t="inlineStr">
        <is>
          <t>VMC</t>
        </is>
      </c>
      <c r="F440" t="inlineStr">
        <is>
          <t>ILIM</t>
        </is>
      </c>
      <c r="G440" t="inlineStr">
        <is>
          <t>ILIM</t>
        </is>
      </c>
      <c r="H440" t="inlineStr">
        <is>
          <t>NO</t>
        </is>
      </c>
      <c r="I440" t="inlineStr">
        <is>
          <t>SADM 190600Z 18004KT CAVOK 06/04 Q1023</t>
        </is>
      </c>
      <c r="J440" t="inlineStr">
        <is>
          <t>s/d</t>
        </is>
      </c>
      <c r="K440" t="inlineStr">
        <is>
          <t>SADM 190600Z 18004KT CAVOK 06/04 Q1023</t>
        </is>
      </c>
      <c r="L440" t="inlineStr">
        <is>
          <t>-</t>
        </is>
      </c>
    </row>
    <row r="441">
      <c r="A441" s="127" t="n">
        <v>4625307</v>
      </c>
      <c r="B441" s="128" t="n">
        <v>46253</v>
      </c>
      <c r="C441" s="127" t="n">
        <v>7</v>
      </c>
      <c r="D441" s="127" t="inlineStr">
        <is>
          <t>07 a 08</t>
        </is>
      </c>
      <c r="E441" s="127" t="inlineStr">
        <is>
          <t>IMC</t>
        </is>
      </c>
      <c r="F441" s="127" t="n">
        <v>3000</v>
      </c>
      <c r="G441" s="127" t="inlineStr">
        <is>
          <t>ILIM</t>
        </is>
      </c>
      <c r="H441" s="127" t="inlineStr">
        <is>
          <t>SI</t>
        </is>
      </c>
      <c r="I441" s="127" t="inlineStr">
        <is>
          <t>SADM 190700Z 20003KT 5000 BR NSC 05/05 Q1024</t>
        </is>
      </c>
      <c r="J441" s="127" t="inlineStr">
        <is>
          <t>vis 3000 m</t>
        </is>
      </c>
      <c r="K441" s="127" t="inlineStr">
        <is>
          <t>SADM 190700Z 20003KT 5000 BR NSC 05/05 Q1024 || SADM 190720Z 18003KT 3000 MIFG BR NSC 05/05 Q1023</t>
        </is>
      </c>
      <c r="L441" s="127" t="inlineStr">
        <is>
          <t>-</t>
        </is>
      </c>
    </row>
    <row r="442">
      <c r="A442" s="127" t="n">
        <v>4625308</v>
      </c>
      <c r="B442" s="128" t="n">
        <v>46253</v>
      </c>
      <c r="C442" s="127" t="n">
        <v>8</v>
      </c>
      <c r="D442" s="127" t="inlineStr">
        <is>
          <t>08 a 09</t>
        </is>
      </c>
      <c r="E442" s="127" t="inlineStr">
        <is>
          <t>IMC</t>
        </is>
      </c>
      <c r="F442" s="127" t="n">
        <v>1500</v>
      </c>
      <c r="G442" s="127" t="inlineStr">
        <is>
          <t>ILIM</t>
        </is>
      </c>
      <c r="H442" s="127" t="inlineStr">
        <is>
          <t>NO</t>
        </is>
      </c>
      <c r="I442" s="127" t="inlineStr">
        <is>
          <t>SADM 190800Z 18002KT 1500 MIFG BR NSC 04/03 Q1023</t>
        </is>
      </c>
      <c r="J442" s="127" t="inlineStr">
        <is>
          <t>vis 1500 m</t>
        </is>
      </c>
      <c r="K442" s="127" t="inlineStr">
        <is>
          <t>SADM 190800Z 18002KT 1500 MIFG BR NSC 04/03 Q1023</t>
        </is>
      </c>
      <c r="L442" s="127" t="inlineStr">
        <is>
          <t>-</t>
        </is>
      </c>
    </row>
    <row r="443">
      <c r="A443" s="127" t="n">
        <v>4625309</v>
      </c>
      <c r="B443" s="128" t="n">
        <v>46253</v>
      </c>
      <c r="C443" s="127" t="n">
        <v>9</v>
      </c>
      <c r="D443" s="127" t="inlineStr">
        <is>
          <t>09 a 10</t>
        </is>
      </c>
      <c r="E443" s="127" t="inlineStr">
        <is>
          <t>IMC</t>
        </is>
      </c>
      <c r="F443" s="127" t="n">
        <v>1000</v>
      </c>
      <c r="G443" s="127" t="inlineStr">
        <is>
          <t>ILIM</t>
        </is>
      </c>
      <c r="H443" s="127" t="inlineStr">
        <is>
          <t>NO</t>
        </is>
      </c>
      <c r="I443" s="127" t="inlineStr">
        <is>
          <t>SADM 190900Z 18003KT 1000 MIFG BR NSC 03/02 Q1023</t>
        </is>
      </c>
      <c r="J443" s="127" t="inlineStr">
        <is>
          <t>vis 1000 m</t>
        </is>
      </c>
      <c r="K443" s="127" t="inlineStr">
        <is>
          <t>SADM 190900Z 18003KT 1000 MIFG BR NSC 03/02 Q1023</t>
        </is>
      </c>
      <c r="L443" s="127" t="inlineStr">
        <is>
          <t>-</t>
        </is>
      </c>
    </row>
    <row r="444">
      <c r="A444" s="127" t="n">
        <v>4625310</v>
      </c>
      <c r="B444" s="128" t="n">
        <v>46253</v>
      </c>
      <c r="C444" s="127" t="n">
        <v>10</v>
      </c>
      <c r="D444" s="127" t="inlineStr">
        <is>
          <t>10 a 11</t>
        </is>
      </c>
      <c r="E444" s="127" t="inlineStr">
        <is>
          <t>IMC</t>
        </is>
      </c>
      <c r="F444" s="127" t="n">
        <v>800</v>
      </c>
      <c r="G444" s="127" t="inlineStr">
        <is>
          <t>ILIM</t>
        </is>
      </c>
      <c r="H444" s="127" t="inlineStr">
        <is>
          <t>SI</t>
        </is>
      </c>
      <c r="I444" s="127" t="inlineStr">
        <is>
          <t>SADM 191000Z 18001KT 0800 FG NSC 03/02 Q1024</t>
        </is>
      </c>
      <c r="J444" s="127" t="inlineStr">
        <is>
          <t>vis 800 m</t>
        </is>
      </c>
      <c r="K444" s="127" t="inlineStr">
        <is>
          <t>SADM 191000Z 18001KT 0800 FG NSC 03/02 Q1024 || SADM 191052Z 00000KT 1500 BR NSC 03/02 Q1024</t>
        </is>
      </c>
      <c r="L444" s="127" t="inlineStr">
        <is>
          <t>-</t>
        </is>
      </c>
    </row>
    <row r="445">
      <c r="A445" s="127" t="n">
        <v>4625311</v>
      </c>
      <c r="B445" s="128" t="n">
        <v>46253</v>
      </c>
      <c r="C445" s="127" t="n">
        <v>11</v>
      </c>
      <c r="D445" s="127" t="inlineStr">
        <is>
          <t>11 a 12</t>
        </is>
      </c>
      <c r="E445" s="127" t="inlineStr">
        <is>
          <t>IMC</t>
        </is>
      </c>
      <c r="F445" s="127" t="n">
        <v>2500</v>
      </c>
      <c r="G445" s="127" t="inlineStr">
        <is>
          <t>ILIM</t>
        </is>
      </c>
      <c r="H445" s="127" t="inlineStr">
        <is>
          <t>NO</t>
        </is>
      </c>
      <c r="I445" s="127" t="inlineStr">
        <is>
          <t>SADM 191100Z 14002KT 2500 BR NSC 04/03 Q1024</t>
        </is>
      </c>
      <c r="J445" s="127" t="inlineStr">
        <is>
          <t>vis 2500 m</t>
        </is>
      </c>
      <c r="K445" s="127" t="inlineStr">
        <is>
          <t>SADM 191100Z 14002KT 2500 BR NSC 04/03 Q1024</t>
        </is>
      </c>
      <c r="L445" s="127" t="inlineStr">
        <is>
          <t>-</t>
        </is>
      </c>
    </row>
    <row r="446">
      <c r="A446" s="127" t="n">
        <v>4625312</v>
      </c>
      <c r="B446" s="128" t="n">
        <v>46253</v>
      </c>
      <c r="C446" s="127" t="n">
        <v>12</v>
      </c>
      <c r="D446" s="127" t="inlineStr">
        <is>
          <t>12 a 13</t>
        </is>
      </c>
      <c r="E446" s="127" t="inlineStr">
        <is>
          <t>IMC</t>
        </is>
      </c>
      <c r="F446" s="127" t="n">
        <v>4000</v>
      </c>
      <c r="G446" s="127" t="inlineStr">
        <is>
          <t>ILIM</t>
        </is>
      </c>
      <c r="H446" s="127" t="inlineStr">
        <is>
          <t>SI</t>
        </is>
      </c>
      <c r="I446" s="127" t="inlineStr">
        <is>
          <t>SADM 191200Z 14005KT 4000 FU NSC 07/05 Q1024</t>
        </is>
      </c>
      <c r="J446" s="127" t="inlineStr">
        <is>
          <t>vis 4000 m</t>
        </is>
      </c>
      <c r="K446" s="127" t="inlineStr">
        <is>
          <t>SADM 191200Z 14005KT 4000 FU NSC 07/05 Q1024 || SADM 191222Z 14005KT 8000 NSC 07/05 Q1025</t>
        </is>
      </c>
      <c r="L446" s="127" t="inlineStr">
        <is>
          <t>-</t>
        </is>
      </c>
    </row>
    <row r="447">
      <c r="A447" t="n">
        <v>4625313</v>
      </c>
      <c r="B447" s="126" t="n">
        <v>46253</v>
      </c>
      <c r="C447" t="n">
        <v>13</v>
      </c>
      <c r="D447" t="inlineStr">
        <is>
          <t>13 a 14</t>
        </is>
      </c>
      <c r="E447" t="inlineStr">
        <is>
          <t>VMC</t>
        </is>
      </c>
      <c r="F447" t="inlineStr">
        <is>
          <t>ILIM</t>
        </is>
      </c>
      <c r="G447" t="inlineStr">
        <is>
          <t>ILIM</t>
        </is>
      </c>
      <c r="H447" t="inlineStr">
        <is>
          <t>NO</t>
        </is>
      </c>
      <c r="I447" t="inlineStr">
        <is>
          <t>SADM 191300Z 12005KT CAVOK 09/06 Q1025</t>
        </is>
      </c>
      <c r="J447" t="inlineStr">
        <is>
          <t>s/d</t>
        </is>
      </c>
      <c r="K447" t="inlineStr">
        <is>
          <t>SADM 191300Z 12005KT CAVOK 09/06 Q1025</t>
        </is>
      </c>
      <c r="L447" t="inlineStr">
        <is>
          <t>-</t>
        </is>
      </c>
    </row>
    <row r="448">
      <c r="A448" t="n">
        <v>4625314</v>
      </c>
      <c r="B448" s="126" t="n">
        <v>46253</v>
      </c>
      <c r="C448" t="n">
        <v>14</v>
      </c>
      <c r="D448" t="inlineStr">
        <is>
          <t>14 a 15</t>
        </is>
      </c>
      <c r="E448" t="inlineStr">
        <is>
          <t>VMC</t>
        </is>
      </c>
      <c r="F448" t="inlineStr">
        <is>
          <t>ILIM</t>
        </is>
      </c>
      <c r="G448" t="inlineStr">
        <is>
          <t>ILIM</t>
        </is>
      </c>
      <c r="H448" t="inlineStr">
        <is>
          <t>NO</t>
        </is>
      </c>
      <c r="I448" t="inlineStr">
        <is>
          <t>SADM 191400Z 09006KT CAVOK 11/06 Q1024</t>
        </is>
      </c>
      <c r="J448" t="inlineStr">
        <is>
          <t>s/d</t>
        </is>
      </c>
      <c r="K448" t="inlineStr">
        <is>
          <t>SADM 191400Z 09006KT CAVOK 11/06 Q1024</t>
        </is>
      </c>
      <c r="L448" t="inlineStr">
        <is>
          <t>-</t>
        </is>
      </c>
    </row>
    <row r="449">
      <c r="A449" t="n">
        <v>4625315</v>
      </c>
      <c r="B449" s="126" t="n">
        <v>46253</v>
      </c>
      <c r="C449" t="n">
        <v>15</v>
      </c>
      <c r="D449" t="inlineStr">
        <is>
          <t>15 a 16</t>
        </is>
      </c>
      <c r="E449" t="inlineStr">
        <is>
          <t>VMC</t>
        </is>
      </c>
      <c r="F449" t="inlineStr">
        <is>
          <t>ILIM</t>
        </is>
      </c>
      <c r="G449" t="inlineStr">
        <is>
          <t>ILIM</t>
        </is>
      </c>
      <c r="H449" t="inlineStr">
        <is>
          <t>NO</t>
        </is>
      </c>
      <c r="I449" t="inlineStr">
        <is>
          <t>SADM 191500Z 09004KT CAVOK 13/06 Q1024</t>
        </is>
      </c>
      <c r="J449" t="inlineStr">
        <is>
          <t>s/d</t>
        </is>
      </c>
      <c r="K449" t="inlineStr">
        <is>
          <t>SADM 191500Z 09004KT CAVOK 13/06 Q1024</t>
        </is>
      </c>
      <c r="L449" t="inlineStr">
        <is>
          <t>-</t>
        </is>
      </c>
    </row>
    <row r="450">
      <c r="A450" t="n">
        <v>4625316</v>
      </c>
      <c r="B450" s="126" t="n">
        <v>46253</v>
      </c>
      <c r="C450" t="n">
        <v>16</v>
      </c>
      <c r="D450" t="inlineStr">
        <is>
          <t>16 a 17</t>
        </is>
      </c>
      <c r="E450" t="inlineStr">
        <is>
          <t>VMC</t>
        </is>
      </c>
      <c r="F450" t="inlineStr">
        <is>
          <t>ILIM</t>
        </is>
      </c>
      <c r="G450" t="inlineStr">
        <is>
          <t>ILIM</t>
        </is>
      </c>
      <c r="H450" t="inlineStr">
        <is>
          <t>NO</t>
        </is>
      </c>
      <c r="I450" t="inlineStr">
        <is>
          <t>SADM 191600Z 15004KT CAVOK 15/05 Q1023</t>
        </is>
      </c>
      <c r="J450" t="inlineStr">
        <is>
          <t>s/d</t>
        </is>
      </c>
      <c r="K450" t="inlineStr">
        <is>
          <t>SADM 191600Z 15004KT CAVOK 15/05 Q1023</t>
        </is>
      </c>
      <c r="L450" t="inlineStr">
        <is>
          <t>-</t>
        </is>
      </c>
    </row>
    <row r="451">
      <c r="A451" t="n">
        <v>4625317</v>
      </c>
      <c r="B451" s="126" t="n">
        <v>46253</v>
      </c>
      <c r="C451" t="n">
        <v>17</v>
      </c>
      <c r="D451" t="inlineStr">
        <is>
          <t>17 a 18</t>
        </is>
      </c>
      <c r="E451" t="inlineStr">
        <is>
          <t>VMC</t>
        </is>
      </c>
      <c r="F451" t="inlineStr">
        <is>
          <t>ILIM</t>
        </is>
      </c>
      <c r="G451" t="inlineStr">
        <is>
          <t>ILIM</t>
        </is>
      </c>
      <c r="H451" t="inlineStr">
        <is>
          <t>NO</t>
        </is>
      </c>
      <c r="I451" t="inlineStr">
        <is>
          <t>SADM 191700Z 14003KT CAVOK 15/05 Q1022</t>
        </is>
      </c>
      <c r="J451" t="inlineStr">
        <is>
          <t>s/d</t>
        </is>
      </c>
      <c r="K451" t="inlineStr">
        <is>
          <t>SADM 191700Z 14003KT CAVOK 15/05 Q1022</t>
        </is>
      </c>
      <c r="L451" t="inlineStr">
        <is>
          <t>-</t>
        </is>
      </c>
    </row>
    <row r="452">
      <c r="A452" t="n">
        <v>4625318</v>
      </c>
      <c r="B452" s="126" t="n">
        <v>46253</v>
      </c>
      <c r="C452" t="n">
        <v>18</v>
      </c>
      <c r="D452" t="inlineStr">
        <is>
          <t>18 a 19</t>
        </is>
      </c>
      <c r="E452" t="inlineStr">
        <is>
          <t>VMC</t>
        </is>
      </c>
      <c r="F452" t="inlineStr">
        <is>
          <t>ILIM</t>
        </is>
      </c>
      <c r="G452" t="inlineStr">
        <is>
          <t>ILIM</t>
        </is>
      </c>
      <c r="H452" t="inlineStr">
        <is>
          <t>NO</t>
        </is>
      </c>
      <c r="I452" t="inlineStr">
        <is>
          <t>SADM 191800Z 07003KT CAVOK 16/04 Q1021</t>
        </is>
      </c>
      <c r="J452" t="inlineStr">
        <is>
          <t>s/d</t>
        </is>
      </c>
      <c r="K452" t="inlineStr">
        <is>
          <t>SADM 191800Z 07003KT CAVOK 16/04 Q1021</t>
        </is>
      </c>
      <c r="L452" t="inlineStr">
        <is>
          <t>-</t>
        </is>
      </c>
    </row>
    <row r="453">
      <c r="A453" t="n">
        <v>4625319</v>
      </c>
      <c r="B453" s="126" t="n">
        <v>46253</v>
      </c>
      <c r="C453" t="n">
        <v>19</v>
      </c>
      <c r="D453" t="inlineStr">
        <is>
          <t>19 a 20</t>
        </is>
      </c>
      <c r="E453" t="inlineStr">
        <is>
          <t>VMC</t>
        </is>
      </c>
      <c r="F453" t="inlineStr">
        <is>
          <t>ILIM</t>
        </is>
      </c>
      <c r="G453" t="inlineStr">
        <is>
          <t>ILIM</t>
        </is>
      </c>
      <c r="H453" t="inlineStr">
        <is>
          <t>NO</t>
        </is>
      </c>
      <c r="I453" t="inlineStr">
        <is>
          <t>SADM 191900Z 09003KT CAVOK 16/03 Q1020</t>
        </is>
      </c>
      <c r="J453" t="inlineStr">
        <is>
          <t>s/d</t>
        </is>
      </c>
      <c r="K453" t="inlineStr">
        <is>
          <t>SADM 191900Z 09003KT CAVOK 16/03 Q1020</t>
        </is>
      </c>
      <c r="L453" t="inlineStr">
        <is>
          <t>-</t>
        </is>
      </c>
    </row>
    <row r="454">
      <c r="A454" t="n">
        <v>4625320</v>
      </c>
      <c r="B454" s="126" t="n">
        <v>46253</v>
      </c>
      <c r="C454" t="n">
        <v>20</v>
      </c>
      <c r="D454" t="inlineStr">
        <is>
          <t>20 a 21</t>
        </is>
      </c>
      <c r="E454" t="inlineStr">
        <is>
          <t>VMC</t>
        </is>
      </c>
      <c r="F454" t="inlineStr">
        <is>
          <t>ILIM</t>
        </is>
      </c>
      <c r="G454" t="inlineStr">
        <is>
          <t>ILIM</t>
        </is>
      </c>
      <c r="H454" t="inlineStr">
        <is>
          <t>NO</t>
        </is>
      </c>
      <c r="I454" t="inlineStr">
        <is>
          <t>SADM 192000Z 05003KT CAVOK 16/00 Q1020</t>
        </is>
      </c>
      <c r="J454" t="inlineStr">
        <is>
          <t>s/d</t>
        </is>
      </c>
      <c r="K454" t="inlineStr">
        <is>
          <t>SADM 192000Z 05003KT CAVOK 16/00 Q1020</t>
        </is>
      </c>
      <c r="L454" t="inlineStr">
        <is>
          <t>-</t>
        </is>
      </c>
    </row>
    <row r="455">
      <c r="A455" t="n">
        <v>4625321</v>
      </c>
      <c r="B455" s="126" t="n">
        <v>46253</v>
      </c>
      <c r="C455" t="n">
        <v>21</v>
      </c>
      <c r="D455" t="inlineStr">
        <is>
          <t>21 a 22</t>
        </is>
      </c>
      <c r="E455" t="inlineStr">
        <is>
          <t>VMC</t>
        </is>
      </c>
      <c r="F455" t="inlineStr">
        <is>
          <t>ILIM</t>
        </is>
      </c>
      <c r="G455" t="inlineStr">
        <is>
          <t>ILIM</t>
        </is>
      </c>
      <c r="H455" t="inlineStr">
        <is>
          <t>NO</t>
        </is>
      </c>
      <c r="I455" t="inlineStr">
        <is>
          <t>SADM 192100Z 05004KT CAVOK 16/01 Q1021</t>
        </is>
      </c>
      <c r="J455" t="inlineStr">
        <is>
          <t>s/d</t>
        </is>
      </c>
      <c r="K455" t="inlineStr">
        <is>
          <t>SADM 192100Z 05004KT CAVOK 16/01 Q1021</t>
        </is>
      </c>
      <c r="L455" t="inlineStr">
        <is>
          <t>-</t>
        </is>
      </c>
    </row>
    <row r="456">
      <c r="A456" t="n">
        <v>4625322</v>
      </c>
      <c r="B456" s="126" t="n">
        <v>46253</v>
      </c>
      <c r="C456" t="n">
        <v>22</v>
      </c>
      <c r="D456" t="inlineStr">
        <is>
          <t>22 a 23</t>
        </is>
      </c>
      <c r="E456" t="inlineStr">
        <is>
          <t>VMC</t>
        </is>
      </c>
      <c r="F456" t="inlineStr">
        <is>
          <t>ILIM</t>
        </is>
      </c>
      <c r="G456" t="inlineStr">
        <is>
          <t>ILIM</t>
        </is>
      </c>
      <c r="H456" t="inlineStr">
        <is>
          <t>NO</t>
        </is>
      </c>
      <c r="I456" t="inlineStr">
        <is>
          <t>SADM 192200Z 05005KT CAVOK 14/05 Q1021</t>
        </is>
      </c>
      <c r="J456" t="inlineStr">
        <is>
          <t>s/d</t>
        </is>
      </c>
      <c r="K456" t="inlineStr">
        <is>
          <t>SADM 192200Z 05005KT CAVOK 14/05 Q1021</t>
        </is>
      </c>
      <c r="L456" t="inlineStr">
        <is>
          <t>-</t>
        </is>
      </c>
    </row>
    <row r="457">
      <c r="A457" t="n">
        <v>4625323</v>
      </c>
      <c r="B457" s="126" t="n">
        <v>46253</v>
      </c>
      <c r="C457" t="n">
        <v>23</v>
      </c>
      <c r="D457" t="inlineStr">
        <is>
          <t>23 a 00</t>
        </is>
      </c>
      <c r="E457" t="inlineStr">
        <is>
          <t>VMC</t>
        </is>
      </c>
      <c r="F457" t="inlineStr">
        <is>
          <t>ILIM</t>
        </is>
      </c>
      <c r="G457" t="inlineStr">
        <is>
          <t>ILIM</t>
        </is>
      </c>
      <c r="H457" t="inlineStr">
        <is>
          <t>NO</t>
        </is>
      </c>
      <c r="I457" t="inlineStr">
        <is>
          <t>SADM 192300Z 09003KT CAVOK 13/06 Q1020</t>
        </is>
      </c>
      <c r="J457" t="inlineStr">
        <is>
          <t>s/d</t>
        </is>
      </c>
      <c r="K457" t="inlineStr">
        <is>
          <t>SADM 192300Z 09003KT CAVOK 13/06 Q1020</t>
        </is>
      </c>
      <c r="L457" t="inlineStr">
        <is>
          <t>-</t>
        </is>
      </c>
    </row>
    <row r="458">
      <c r="A458" t="n">
        <v>4625400</v>
      </c>
      <c r="B458" s="126" t="n">
        <v>46254</v>
      </c>
      <c r="C458" t="n">
        <v>0</v>
      </c>
      <c r="D458" t="inlineStr">
        <is>
          <t>00 a 01</t>
        </is>
      </c>
      <c r="E458" t="inlineStr">
        <is>
          <t>VMC</t>
        </is>
      </c>
      <c r="F458" t="inlineStr">
        <is>
          <t>ILIM</t>
        </is>
      </c>
      <c r="G458" t="inlineStr">
        <is>
          <t>ILIM</t>
        </is>
      </c>
      <c r="H458" t="inlineStr">
        <is>
          <t>NO</t>
        </is>
      </c>
      <c r="I458" t="inlineStr">
        <is>
          <t>SADM 200000Z 09002KT CAVOK 12/06 Q1020</t>
        </is>
      </c>
      <c r="J458" t="inlineStr">
        <is>
          <t>s/d</t>
        </is>
      </c>
      <c r="K458" t="inlineStr">
        <is>
          <t>SADM 200000Z 09002KT CAVOK 12/06 Q1020</t>
        </is>
      </c>
      <c r="L458" t="inlineStr">
        <is>
          <t>-</t>
        </is>
      </c>
    </row>
    <row r="459">
      <c r="A459" t="n">
        <v>4625401</v>
      </c>
      <c r="B459" s="126" t="n">
        <v>46254</v>
      </c>
      <c r="C459" t="n">
        <v>1</v>
      </c>
      <c r="D459" t="inlineStr">
        <is>
          <t>01 a 02</t>
        </is>
      </c>
      <c r="E459" t="inlineStr">
        <is>
          <t>VMC</t>
        </is>
      </c>
      <c r="F459" t="inlineStr">
        <is>
          <t>ILIM</t>
        </is>
      </c>
      <c r="G459" t="inlineStr">
        <is>
          <t>ILIM</t>
        </is>
      </c>
      <c r="H459" t="inlineStr">
        <is>
          <t>NO</t>
        </is>
      </c>
      <c r="I459" t="inlineStr">
        <is>
          <t>SADM 200100Z 09002KT CAVOK 11/06 Q1020</t>
        </is>
      </c>
      <c r="J459" t="inlineStr">
        <is>
          <t>s/d</t>
        </is>
      </c>
      <c r="K459" t="inlineStr">
        <is>
          <t>SADM 200100Z 09002KT CAVOK 11/06 Q1020</t>
        </is>
      </c>
      <c r="L459" t="inlineStr">
        <is>
          <t>-</t>
        </is>
      </c>
    </row>
    <row r="460">
      <c r="A460" t="n">
        <v>4625402</v>
      </c>
      <c r="B460" s="126" t="n">
        <v>46254</v>
      </c>
      <c r="C460" t="n">
        <v>2</v>
      </c>
      <c r="D460" t="inlineStr">
        <is>
          <t>02 a 03</t>
        </is>
      </c>
      <c r="E460" t="inlineStr">
        <is>
          <t>VMC</t>
        </is>
      </c>
      <c r="F460" t="inlineStr">
        <is>
          <t>ILIM</t>
        </is>
      </c>
      <c r="G460" t="inlineStr">
        <is>
          <t>ILIM</t>
        </is>
      </c>
      <c r="H460" t="inlineStr">
        <is>
          <t>NO</t>
        </is>
      </c>
      <c r="I460" t="inlineStr">
        <is>
          <t>SADM 200200Z 09002KT CAVOK 10/05 Q1020</t>
        </is>
      </c>
      <c r="J460" t="inlineStr">
        <is>
          <t>s/d</t>
        </is>
      </c>
      <c r="K460" t="inlineStr">
        <is>
          <t>SADM 200200Z 09002KT CAVOK 10/05 Q1020</t>
        </is>
      </c>
      <c r="L460" t="inlineStr">
        <is>
          <t>-</t>
        </is>
      </c>
    </row>
    <row r="461">
      <c r="A461" t="n">
        <v>4625403</v>
      </c>
      <c r="B461" s="126" t="n">
        <v>46254</v>
      </c>
      <c r="C461" t="n">
        <v>3</v>
      </c>
      <c r="D461" t="inlineStr">
        <is>
          <t>03 a 04</t>
        </is>
      </c>
      <c r="E461" t="inlineStr">
        <is>
          <t>VMC</t>
        </is>
      </c>
      <c r="F461" t="inlineStr">
        <is>
          <t>ILIM</t>
        </is>
      </c>
      <c r="G461" t="inlineStr">
        <is>
          <t>ILIM</t>
        </is>
      </c>
      <c r="H461" t="inlineStr">
        <is>
          <t>NO</t>
        </is>
      </c>
      <c r="I461" t="inlineStr">
        <is>
          <t>SADM 200300Z 09002KT CAVOK 09/05 Q1019</t>
        </is>
      </c>
      <c r="J461" t="inlineStr">
        <is>
          <t>s/d</t>
        </is>
      </c>
      <c r="K461" t="inlineStr">
        <is>
          <t>SADM 200300Z 09002KT CAVOK 09/05 Q1019</t>
        </is>
      </c>
      <c r="L461" t="inlineStr">
        <is>
          <t>-</t>
        </is>
      </c>
    </row>
    <row r="462">
      <c r="A462" t="n">
        <v>4625404</v>
      </c>
      <c r="B462" s="126" t="n">
        <v>46254</v>
      </c>
      <c r="C462" t="n">
        <v>4</v>
      </c>
      <c r="D462" t="inlineStr">
        <is>
          <t>04 a 05</t>
        </is>
      </c>
      <c r="E462" t="inlineStr">
        <is>
          <t>VMC</t>
        </is>
      </c>
      <c r="F462" t="inlineStr">
        <is>
          <t>ILIM</t>
        </is>
      </c>
      <c r="G462" t="inlineStr">
        <is>
          <t>ILIM</t>
        </is>
      </c>
      <c r="H462" t="inlineStr">
        <is>
          <t>NO</t>
        </is>
      </c>
      <c r="I462" t="inlineStr">
        <is>
          <t>SADM 200400Z 09003KT CAVOK 08/04 Q1019</t>
        </is>
      </c>
      <c r="J462" t="inlineStr">
        <is>
          <t>s/d</t>
        </is>
      </c>
      <c r="K462" t="inlineStr">
        <is>
          <t>SADM 200400Z 09003KT CAVOK 08/04 Q1019</t>
        </is>
      </c>
      <c r="L462" t="inlineStr">
        <is>
          <t>-</t>
        </is>
      </c>
    </row>
    <row r="463">
      <c r="A463" s="129" t="n">
        <v>4625405</v>
      </c>
      <c r="B463" s="130" t="n">
        <v>46254</v>
      </c>
      <c r="C463" s="129" t="n">
        <v>5</v>
      </c>
      <c r="D463" s="129" t="inlineStr">
        <is>
          <t>05 a 06</t>
        </is>
      </c>
      <c r="E463" s="129" t="inlineStr">
        <is>
          <t>SIN DATO</t>
        </is>
      </c>
      <c r="F463" s="129" t="inlineStr">
        <is>
          <t>s/d</t>
        </is>
      </c>
      <c r="G463" s="129" t="inlineStr">
        <is>
          <t>s/d</t>
        </is>
      </c>
      <c r="H463" s="129" t="inlineStr">
        <is>
          <t>NO</t>
        </is>
      </c>
      <c r="I463" s="129" t="inlineStr">
        <is>
          <t>s/d</t>
        </is>
      </c>
      <c r="J463" s="129" t="inlineStr">
        <is>
          <t>s/d</t>
        </is>
      </c>
      <c r="K463" s="129" t="inlineStr">
        <is>
          <t>s/d</t>
        </is>
      </c>
      <c r="L463" s="129" t="inlineStr">
        <is>
          <t>-</t>
        </is>
      </c>
    </row>
    <row r="464">
      <c r="A464" t="n">
        <v>4625406</v>
      </c>
      <c r="B464" s="126" t="n">
        <v>46254</v>
      </c>
      <c r="C464" t="n">
        <v>6</v>
      </c>
      <c r="D464" t="inlineStr">
        <is>
          <t>06 a 07</t>
        </is>
      </c>
      <c r="E464" t="inlineStr">
        <is>
          <t>VMC</t>
        </is>
      </c>
      <c r="F464" t="inlineStr">
        <is>
          <t>ILIM</t>
        </is>
      </c>
      <c r="G464" t="inlineStr">
        <is>
          <t>ILIM</t>
        </is>
      </c>
      <c r="H464" t="inlineStr">
        <is>
          <t>NO</t>
        </is>
      </c>
      <c r="I464" t="inlineStr">
        <is>
          <t>COR SADM 200600Z 18001KT CAVOK 06/04 Q1017</t>
        </is>
      </c>
      <c r="J464" t="inlineStr">
        <is>
          <t>s/d</t>
        </is>
      </c>
      <c r="K464" t="inlineStr">
        <is>
          <t>COR SADM 200600Z 18001KT CAVOK 06/04 Q1017</t>
        </is>
      </c>
      <c r="L464" t="inlineStr">
        <is>
          <t>-</t>
        </is>
      </c>
    </row>
    <row r="465">
      <c r="A465" t="n">
        <v>4625407</v>
      </c>
      <c r="B465" s="126" t="n">
        <v>46254</v>
      </c>
      <c r="C465" t="n">
        <v>7</v>
      </c>
      <c r="D465" t="inlineStr">
        <is>
          <t>07 a 08</t>
        </is>
      </c>
      <c r="E465" t="inlineStr">
        <is>
          <t>VMC</t>
        </is>
      </c>
      <c r="F465" t="inlineStr">
        <is>
          <t>ILIM</t>
        </is>
      </c>
      <c r="G465" t="inlineStr">
        <is>
          <t>ILIM</t>
        </is>
      </c>
      <c r="H465" t="inlineStr">
        <is>
          <t>NO</t>
        </is>
      </c>
      <c r="I465" t="inlineStr">
        <is>
          <t>SADM 200700Z 00000KT CAVOK 06/03 Q1016</t>
        </is>
      </c>
      <c r="J465" t="inlineStr">
        <is>
          <t>s/d</t>
        </is>
      </c>
      <c r="K465" t="inlineStr">
        <is>
          <t>SADM 200700Z 00000KT CAVOK 06/03 Q1016</t>
        </is>
      </c>
      <c r="L465" t="inlineStr">
        <is>
          <t>-</t>
        </is>
      </c>
    </row>
    <row r="466">
      <c r="A466" t="n">
        <v>4625408</v>
      </c>
      <c r="B466" s="126" t="n">
        <v>46254</v>
      </c>
      <c r="C466" t="n">
        <v>8</v>
      </c>
      <c r="D466" t="inlineStr">
        <is>
          <t>08 a 09</t>
        </is>
      </c>
      <c r="E466" t="inlineStr">
        <is>
          <t>VMC</t>
        </is>
      </c>
      <c r="F466" t="inlineStr">
        <is>
          <t>ILIM</t>
        </is>
      </c>
      <c r="G466" t="inlineStr">
        <is>
          <t>ILIM</t>
        </is>
      </c>
      <c r="H466" t="inlineStr">
        <is>
          <t>NO</t>
        </is>
      </c>
      <c r="I466" t="inlineStr">
        <is>
          <t>SADM 200800Z 18001KT CAVOK 05/03 Q1016</t>
        </is>
      </c>
      <c r="J466" t="inlineStr">
        <is>
          <t>s/d</t>
        </is>
      </c>
      <c r="K466" t="inlineStr">
        <is>
          <t>SADM 200800Z 18001KT CAVOK 05/03 Q1016</t>
        </is>
      </c>
      <c r="L466" t="inlineStr">
        <is>
          <t>-</t>
        </is>
      </c>
    </row>
    <row r="467">
      <c r="A467" t="n">
        <v>4625409</v>
      </c>
      <c r="B467" s="126" t="n">
        <v>46254</v>
      </c>
      <c r="C467" t="n">
        <v>9</v>
      </c>
      <c r="D467" t="inlineStr">
        <is>
          <t>09 a 10</t>
        </is>
      </c>
      <c r="E467" t="inlineStr">
        <is>
          <t>VMC</t>
        </is>
      </c>
      <c r="F467" t="inlineStr">
        <is>
          <t>ILIM</t>
        </is>
      </c>
      <c r="G467" t="inlineStr">
        <is>
          <t>ILIM</t>
        </is>
      </c>
      <c r="H467" t="inlineStr">
        <is>
          <t>NO</t>
        </is>
      </c>
      <c r="I467" t="inlineStr">
        <is>
          <t>SADM 200900Z 18004KT CAVOK 05/03 Q1015</t>
        </is>
      </c>
      <c r="J467" t="inlineStr">
        <is>
          <t>s/d</t>
        </is>
      </c>
      <c r="K467" t="inlineStr">
        <is>
          <t>SADM 200900Z 18004KT CAVOK 05/03 Q1015</t>
        </is>
      </c>
      <c r="L467" t="inlineStr">
        <is>
          <t>-</t>
        </is>
      </c>
    </row>
    <row r="468">
      <c r="A468" s="127" t="n">
        <v>4625410</v>
      </c>
      <c r="B468" s="128" t="n">
        <v>46254</v>
      </c>
      <c r="C468" s="127" t="n">
        <v>10</v>
      </c>
      <c r="D468" s="127" t="inlineStr">
        <is>
          <t>10 a 11</t>
        </is>
      </c>
      <c r="E468" s="127" t="inlineStr">
        <is>
          <t>IMC</t>
        </is>
      </c>
      <c r="F468" s="127" t="n">
        <v>1500</v>
      </c>
      <c r="G468" s="127" t="inlineStr">
        <is>
          <t>ILIM</t>
        </is>
      </c>
      <c r="H468" s="127" t="inlineStr">
        <is>
          <t>SI</t>
        </is>
      </c>
      <c r="I468" s="127" t="inlineStr">
        <is>
          <t>SADM 201000Z 20006KT 5000 BR FU NSC 06/05 Q1016</t>
        </is>
      </c>
      <c r="J468" s="127" t="inlineStr">
        <is>
          <t>vis 1500 m</t>
        </is>
      </c>
      <c r="K468" s="127" t="inlineStr">
        <is>
          <t>SADM 201000Z 20006KT 5000 BR FU NSC 06/05 Q1016 || SADM 201015Z 19007KT 1500 BR FU NSC 06/05 Q1016</t>
        </is>
      </c>
      <c r="L468" s="127" t="inlineStr">
        <is>
          <t>-</t>
        </is>
      </c>
    </row>
    <row r="469">
      <c r="A469" s="127" t="n">
        <v>4625411</v>
      </c>
      <c r="B469" s="128" t="n">
        <v>46254</v>
      </c>
      <c r="C469" s="127" t="n">
        <v>11</v>
      </c>
      <c r="D469" s="127" t="inlineStr">
        <is>
          <t>11 a 12</t>
        </is>
      </c>
      <c r="E469" s="127" t="inlineStr">
        <is>
          <t>IMC</t>
        </is>
      </c>
      <c r="F469" s="127" t="n">
        <v>200</v>
      </c>
      <c r="G469" s="127" t="n">
        <v>100</v>
      </c>
      <c r="H469" s="127" t="inlineStr">
        <is>
          <t>NO</t>
        </is>
      </c>
      <c r="I469" s="127" t="inlineStr">
        <is>
          <t>SADM 201100Z 20003KT 0200 FG FU OVC001 06/06 Q1016</t>
        </is>
      </c>
      <c r="J469" s="127" t="inlineStr">
        <is>
          <t>vis 200 m + techo 100 ft</t>
        </is>
      </c>
      <c r="K469" s="127" t="inlineStr">
        <is>
          <t>SADM 201100Z 20003KT 0200 FG FU OVC001 06/06 Q1016</t>
        </is>
      </c>
      <c r="L469" s="127" t="inlineStr">
        <is>
          <t>-</t>
        </is>
      </c>
    </row>
    <row r="470">
      <c r="A470" s="127" t="n">
        <v>4625412</v>
      </c>
      <c r="B470" s="128" t="n">
        <v>46254</v>
      </c>
      <c r="C470" s="127" t="n">
        <v>12</v>
      </c>
      <c r="D470" s="127" t="inlineStr">
        <is>
          <t>12 a 13</t>
        </is>
      </c>
      <c r="E470" s="127" t="inlineStr">
        <is>
          <t>IMC</t>
        </is>
      </c>
      <c r="F470" s="127" t="n">
        <v>200</v>
      </c>
      <c r="G470" s="127" t="n">
        <v>200</v>
      </c>
      <c r="H470" s="127" t="inlineStr">
        <is>
          <t>SI</t>
        </is>
      </c>
      <c r="I470" s="127" t="inlineStr">
        <is>
          <t>SADM 201200Z 20001KT 0200 FG BKN002 BKN200 07/07 Q1016</t>
        </is>
      </c>
      <c r="J470" s="127" t="inlineStr">
        <is>
          <t>vis 200 m + techo 200 ft</t>
        </is>
      </c>
      <c r="K470" s="127" t="inlineStr">
        <is>
          <t>SADM 201200Z 20001KT 0200 FG BKN002 BKN200 07/07 Q1016 || SADM 201220Z 30001KT 0800 FG BKN002 BKN200 07/07 Q1016</t>
        </is>
      </c>
      <c r="L470" s="127" t="inlineStr">
        <is>
          <t>-</t>
        </is>
      </c>
    </row>
    <row r="471">
      <c r="A471" s="127" t="n">
        <v>4625413</v>
      </c>
      <c r="B471" s="128" t="n">
        <v>46254</v>
      </c>
      <c r="C471" s="127" t="n">
        <v>13</v>
      </c>
      <c r="D471" s="127" t="inlineStr">
        <is>
          <t>13 a 14</t>
        </is>
      </c>
      <c r="E471" s="127" t="inlineStr">
        <is>
          <t>IMC</t>
        </is>
      </c>
      <c r="F471" s="127" t="n">
        <v>3000</v>
      </c>
      <c r="G471" s="127" t="n">
        <v>20000</v>
      </c>
      <c r="H471" s="127" t="inlineStr">
        <is>
          <t>NO</t>
        </is>
      </c>
      <c r="I471" s="127" t="inlineStr">
        <is>
          <t>SADM 201300Z 20002KT 3000 BR SCT006 BKN200 09/08 Q1016</t>
        </is>
      </c>
      <c r="J471" s="127" t="inlineStr">
        <is>
          <t>vis 3000 m</t>
        </is>
      </c>
      <c r="K471" s="127" t="inlineStr">
        <is>
          <t>SADM 201300Z 20002KT 3000 BR SCT006 BKN200 09/08 Q1016</t>
        </is>
      </c>
      <c r="L471" s="127" t="inlineStr">
        <is>
          <t>-</t>
        </is>
      </c>
    </row>
    <row r="472">
      <c r="A472" s="127" t="n">
        <v>4625414</v>
      </c>
      <c r="B472" s="128" t="n">
        <v>46254</v>
      </c>
      <c r="C472" s="127" t="n">
        <v>14</v>
      </c>
      <c r="D472" s="127" t="inlineStr">
        <is>
          <t>14 a 15</t>
        </is>
      </c>
      <c r="E472" s="127" t="inlineStr">
        <is>
          <t>IMC</t>
        </is>
      </c>
      <c r="F472" s="127" t="n">
        <v>4000</v>
      </c>
      <c r="G472" s="127" t="inlineStr">
        <is>
          <t>ILIM</t>
        </is>
      </c>
      <c r="H472" s="127" t="inlineStr">
        <is>
          <t>NO</t>
        </is>
      </c>
      <c r="I472" s="127" t="inlineStr">
        <is>
          <t>SADM 201400Z 20004KT 4000 BR NSC 11/06 Q1015</t>
        </is>
      </c>
      <c r="J472" s="127" t="inlineStr">
        <is>
          <t>vis 4000 m</t>
        </is>
      </c>
      <c r="K472" s="127" t="inlineStr">
        <is>
          <t>SADM 201400Z 20004KT 4000 BR NSC 11/06 Q1015</t>
        </is>
      </c>
      <c r="L472" s="127" t="inlineStr">
        <is>
          <t>-</t>
        </is>
      </c>
    </row>
    <row r="473">
      <c r="A473" t="n">
        <v>4625415</v>
      </c>
      <c r="B473" s="126" t="n">
        <v>46254</v>
      </c>
      <c r="C473" t="n">
        <v>15</v>
      </c>
      <c r="D473" t="inlineStr">
        <is>
          <t>15 a 16</t>
        </is>
      </c>
      <c r="E473" t="inlineStr">
        <is>
          <t>VMC</t>
        </is>
      </c>
      <c r="F473" t="n">
        <v>8000</v>
      </c>
      <c r="G473" t="inlineStr">
        <is>
          <t>ILIM</t>
        </is>
      </c>
      <c r="H473" t="inlineStr">
        <is>
          <t>NO</t>
        </is>
      </c>
      <c r="I473" t="inlineStr">
        <is>
          <t>SADM 201500Z 23004KT 8000 NSC 13/03 Q1014</t>
        </is>
      </c>
      <c r="J473" t="inlineStr">
        <is>
          <t>s/d</t>
        </is>
      </c>
      <c r="K473" t="inlineStr">
        <is>
          <t>SADM 201500Z 23004KT 8000 NSC 13/03 Q1014</t>
        </is>
      </c>
      <c r="L473" t="inlineStr">
        <is>
          <t>-</t>
        </is>
      </c>
    </row>
    <row r="474">
      <c r="A474" t="n">
        <v>4625416</v>
      </c>
      <c r="B474" s="126" t="n">
        <v>46254</v>
      </c>
      <c r="C474" t="n">
        <v>16</v>
      </c>
      <c r="D474" t="inlineStr">
        <is>
          <t>16 a 17</t>
        </is>
      </c>
      <c r="E474" t="inlineStr">
        <is>
          <t>VMC</t>
        </is>
      </c>
      <c r="F474" t="n">
        <v>6000</v>
      </c>
      <c r="G474" t="inlineStr">
        <is>
          <t>ILIM</t>
        </is>
      </c>
      <c r="H474" t="inlineStr">
        <is>
          <t>NO</t>
        </is>
      </c>
      <c r="I474" t="inlineStr">
        <is>
          <t>SADM 201600Z 23008KT 6000 NSC 15/04 Q1013</t>
        </is>
      </c>
      <c r="J474" t="inlineStr">
        <is>
          <t>s/d</t>
        </is>
      </c>
      <c r="K474" t="inlineStr">
        <is>
          <t>SADM 201600Z 23008KT 6000 NSC 15/04 Q1013</t>
        </is>
      </c>
      <c r="L474" t="inlineStr">
        <is>
          <t>-</t>
        </is>
      </c>
    </row>
    <row r="475">
      <c r="A475" t="n">
        <v>4625417</v>
      </c>
      <c r="B475" s="126" t="n">
        <v>46254</v>
      </c>
      <c r="C475" t="n">
        <v>17</v>
      </c>
      <c r="D475" t="inlineStr">
        <is>
          <t>17 a 18</t>
        </is>
      </c>
      <c r="E475" t="inlineStr">
        <is>
          <t>VMC</t>
        </is>
      </c>
      <c r="F475" t="n">
        <v>9000</v>
      </c>
      <c r="G475" t="inlineStr">
        <is>
          <t>ILIM</t>
        </is>
      </c>
      <c r="H475" t="inlineStr">
        <is>
          <t>NO</t>
        </is>
      </c>
      <c r="I475" t="inlineStr">
        <is>
          <t>SADM 201700Z 27005KT 9000 NSC 16/04 Q1012</t>
        </is>
      </c>
      <c r="J475" t="inlineStr">
        <is>
          <t>s/d</t>
        </is>
      </c>
      <c r="K475" t="inlineStr">
        <is>
          <t>SADM 201700Z 27005KT 9000 NSC 16/04 Q1012</t>
        </is>
      </c>
      <c r="L475" t="inlineStr">
        <is>
          <t>-</t>
        </is>
      </c>
    </row>
    <row r="476">
      <c r="A476" t="n">
        <v>4625418</v>
      </c>
      <c r="B476" s="126" t="n">
        <v>46254</v>
      </c>
      <c r="C476" t="n">
        <v>18</v>
      </c>
      <c r="D476" t="inlineStr">
        <is>
          <t>18 a 19</t>
        </is>
      </c>
      <c r="E476" t="inlineStr">
        <is>
          <t>VMC</t>
        </is>
      </c>
      <c r="F476" t="inlineStr">
        <is>
          <t>ILIM</t>
        </is>
      </c>
      <c r="G476" t="inlineStr">
        <is>
          <t>ILIM</t>
        </is>
      </c>
      <c r="H476" t="inlineStr">
        <is>
          <t>NO</t>
        </is>
      </c>
      <c r="I476" t="inlineStr">
        <is>
          <t>SADM 201800Z 27007KT CAVOK 17/04 Q1010</t>
        </is>
      </c>
      <c r="J476" t="inlineStr">
        <is>
          <t>s/d</t>
        </is>
      </c>
      <c r="K476" t="inlineStr">
        <is>
          <t>SADM 201800Z 27007KT CAVOK 17/04 Q1010</t>
        </is>
      </c>
      <c r="L476" t="inlineStr">
        <is>
          <t>-</t>
        </is>
      </c>
    </row>
    <row r="477">
      <c r="A477" t="n">
        <v>4625419</v>
      </c>
      <c r="B477" s="126" t="n">
        <v>46254</v>
      </c>
      <c r="C477" t="n">
        <v>19</v>
      </c>
      <c r="D477" t="inlineStr">
        <is>
          <t>19 a 20</t>
        </is>
      </c>
      <c r="E477" t="inlineStr">
        <is>
          <t>VMC</t>
        </is>
      </c>
      <c r="F477" t="inlineStr">
        <is>
          <t>ILIM</t>
        </is>
      </c>
      <c r="G477" t="inlineStr">
        <is>
          <t>ILIM</t>
        </is>
      </c>
      <c r="H477" t="inlineStr">
        <is>
          <t>NO</t>
        </is>
      </c>
      <c r="I477" t="inlineStr">
        <is>
          <t>SADM 201900Z 23011KT CAVOK 18/03 Q1010</t>
        </is>
      </c>
      <c r="J477" t="inlineStr">
        <is>
          <t>s/d</t>
        </is>
      </c>
      <c r="K477" t="inlineStr">
        <is>
          <t>SADM 201900Z 23011KT CAVOK 18/03 Q1010</t>
        </is>
      </c>
      <c r="L477" t="inlineStr">
        <is>
          <t>-</t>
        </is>
      </c>
    </row>
    <row r="478">
      <c r="A478" t="n">
        <v>4625420</v>
      </c>
      <c r="B478" s="126" t="n">
        <v>46254</v>
      </c>
      <c r="C478" t="n">
        <v>20</v>
      </c>
      <c r="D478" t="inlineStr">
        <is>
          <t>20 a 21</t>
        </is>
      </c>
      <c r="E478" t="inlineStr">
        <is>
          <t>VMC</t>
        </is>
      </c>
      <c r="F478" t="inlineStr">
        <is>
          <t>ILIM</t>
        </is>
      </c>
      <c r="G478" t="inlineStr">
        <is>
          <t>ILIM</t>
        </is>
      </c>
      <c r="H478" t="inlineStr">
        <is>
          <t>NO</t>
        </is>
      </c>
      <c r="I478" t="inlineStr">
        <is>
          <t>SADM 202000Z 24009KT CAVOK 19/06 Q1011</t>
        </is>
      </c>
      <c r="J478" t="inlineStr">
        <is>
          <t>s/d</t>
        </is>
      </c>
      <c r="K478" t="inlineStr">
        <is>
          <t>SADM 202000Z 24009KT CAVOK 19/06 Q1011</t>
        </is>
      </c>
      <c r="L478" t="inlineStr">
        <is>
          <t>-</t>
        </is>
      </c>
    </row>
    <row r="479">
      <c r="A479" t="n">
        <v>4625421</v>
      </c>
      <c r="B479" s="126" t="n">
        <v>46254</v>
      </c>
      <c r="C479" t="n">
        <v>21</v>
      </c>
      <c r="D479" t="inlineStr">
        <is>
          <t>21 a 22</t>
        </is>
      </c>
      <c r="E479" t="inlineStr">
        <is>
          <t>VMC</t>
        </is>
      </c>
      <c r="F479" t="inlineStr">
        <is>
          <t>ILIM</t>
        </is>
      </c>
      <c r="G479" t="inlineStr">
        <is>
          <t>ILIM</t>
        </is>
      </c>
      <c r="H479" t="inlineStr">
        <is>
          <t>NO</t>
        </is>
      </c>
      <c r="I479" t="inlineStr">
        <is>
          <t>SADM 202100Z 23009KT CAVOK 18/05 Q1011</t>
        </is>
      </c>
      <c r="J479" t="inlineStr">
        <is>
          <t>s/d</t>
        </is>
      </c>
      <c r="K479" t="inlineStr">
        <is>
          <t>SADM 202100Z 23009KT CAVOK 18/05 Q1011</t>
        </is>
      </c>
      <c r="L479" t="inlineStr">
        <is>
          <t>-</t>
        </is>
      </c>
    </row>
    <row r="480">
      <c r="A480" t="n">
        <v>4625422</v>
      </c>
      <c r="B480" s="126" t="n">
        <v>46254</v>
      </c>
      <c r="C480" t="n">
        <v>22</v>
      </c>
      <c r="D480" t="inlineStr">
        <is>
          <t>22 a 23</t>
        </is>
      </c>
      <c r="E480" t="inlineStr">
        <is>
          <t>VMC</t>
        </is>
      </c>
      <c r="F480" t="inlineStr">
        <is>
          <t>ILIM</t>
        </is>
      </c>
      <c r="G480" t="inlineStr">
        <is>
          <t>ILIM</t>
        </is>
      </c>
      <c r="H480" t="inlineStr">
        <is>
          <t>NO</t>
        </is>
      </c>
      <c r="I480" t="inlineStr">
        <is>
          <t>SADM 202200Z 19007KT CAVOK 13/06 Q1012</t>
        </is>
      </c>
      <c r="J480" t="inlineStr">
        <is>
          <t>s/d</t>
        </is>
      </c>
      <c r="K480" t="inlineStr">
        <is>
          <t>SADM 202200Z 19007KT CAVOK 13/06 Q1012</t>
        </is>
      </c>
      <c r="L480" t="inlineStr">
        <is>
          <t>-</t>
        </is>
      </c>
    </row>
    <row r="481">
      <c r="A481" t="n">
        <v>4625423</v>
      </c>
      <c r="B481" s="126" t="n">
        <v>46254</v>
      </c>
      <c r="C481" t="n">
        <v>23</v>
      </c>
      <c r="D481" t="inlineStr">
        <is>
          <t>23 a 00</t>
        </is>
      </c>
      <c r="E481" t="inlineStr">
        <is>
          <t>VMC</t>
        </is>
      </c>
      <c r="F481" t="inlineStr">
        <is>
          <t>ILIM</t>
        </is>
      </c>
      <c r="G481" t="inlineStr">
        <is>
          <t>ILIM</t>
        </is>
      </c>
      <c r="H481" t="inlineStr">
        <is>
          <t>NO</t>
        </is>
      </c>
      <c r="I481" t="inlineStr">
        <is>
          <t>SADM 202300Z 20007KT CAVOK 13/07 Q1013</t>
        </is>
      </c>
      <c r="J481" t="inlineStr">
        <is>
          <t>s/d</t>
        </is>
      </c>
      <c r="K481" t="inlineStr">
        <is>
          <t>SADM 202300Z 20007KT CAVOK 13/07 Q1013</t>
        </is>
      </c>
      <c r="L481" t="inlineStr">
        <is>
          <t>-</t>
        </is>
      </c>
    </row>
    <row r="482">
      <c r="A482" t="n">
        <v>4625500</v>
      </c>
      <c r="B482" s="126" t="n">
        <v>46255</v>
      </c>
      <c r="C482" t="n">
        <v>0</v>
      </c>
      <c r="D482" t="inlineStr">
        <is>
          <t>00 a 01</t>
        </is>
      </c>
      <c r="E482" t="inlineStr">
        <is>
          <t>VMC</t>
        </is>
      </c>
      <c r="F482" t="inlineStr">
        <is>
          <t>ILIM</t>
        </is>
      </c>
      <c r="G482" t="inlineStr">
        <is>
          <t>ILIM</t>
        </is>
      </c>
      <c r="H482" t="inlineStr">
        <is>
          <t>NO</t>
        </is>
      </c>
      <c r="I482" t="inlineStr">
        <is>
          <t>SADM 210000Z 18015G27KT CAVOK 13/07 Q1015</t>
        </is>
      </c>
      <c r="J482" t="inlineStr">
        <is>
          <t>s/d</t>
        </is>
      </c>
      <c r="K482" t="inlineStr">
        <is>
          <t>SADM 210000Z 18015G27KT CAVOK 13/07 Q1015</t>
        </is>
      </c>
      <c r="L482" t="inlineStr">
        <is>
          <t>-</t>
        </is>
      </c>
    </row>
    <row r="483">
      <c r="A483" t="n">
        <v>4625501</v>
      </c>
      <c r="B483" s="126" t="n">
        <v>46255</v>
      </c>
      <c r="C483" t="n">
        <v>1</v>
      </c>
      <c r="D483" t="inlineStr">
        <is>
          <t>01 a 02</t>
        </is>
      </c>
      <c r="E483" t="inlineStr">
        <is>
          <t>VMC</t>
        </is>
      </c>
      <c r="F483" t="inlineStr">
        <is>
          <t>ILIM</t>
        </is>
      </c>
      <c r="G483" t="inlineStr">
        <is>
          <t>ILIM</t>
        </is>
      </c>
      <c r="H483" t="inlineStr">
        <is>
          <t>NO</t>
        </is>
      </c>
      <c r="I483" t="inlineStr">
        <is>
          <t>SADM 210100Z 16016KT CAVOK 12/07 Q1017</t>
        </is>
      </c>
      <c r="J483" t="inlineStr">
        <is>
          <t>s/d</t>
        </is>
      </c>
      <c r="K483" t="inlineStr">
        <is>
          <t>SADM 210100Z 16016KT CAVOK 12/07 Q1017</t>
        </is>
      </c>
      <c r="L483" t="inlineStr">
        <is>
          <t>-</t>
        </is>
      </c>
    </row>
    <row r="484">
      <c r="A484" t="n">
        <v>4625502</v>
      </c>
      <c r="B484" s="126" t="n">
        <v>46255</v>
      </c>
      <c r="C484" t="n">
        <v>2</v>
      </c>
      <c r="D484" t="inlineStr">
        <is>
          <t>02 a 03</t>
        </is>
      </c>
      <c r="E484" t="inlineStr">
        <is>
          <t>VMC</t>
        </is>
      </c>
      <c r="F484" t="inlineStr">
        <is>
          <t>ILIM</t>
        </is>
      </c>
      <c r="G484" t="inlineStr">
        <is>
          <t>ILIM</t>
        </is>
      </c>
      <c r="H484" t="inlineStr">
        <is>
          <t>NO</t>
        </is>
      </c>
      <c r="I484" t="inlineStr">
        <is>
          <t>SADM 210200Z 16013KT CAVOK 11/07 Q1017</t>
        </is>
      </c>
      <c r="J484" t="inlineStr">
        <is>
          <t>s/d</t>
        </is>
      </c>
      <c r="K484" t="inlineStr">
        <is>
          <t>SADM 210200Z 16013KT CAVOK 11/07 Q1017</t>
        </is>
      </c>
      <c r="L484" t="inlineStr">
        <is>
          <t>-</t>
        </is>
      </c>
    </row>
    <row r="485">
      <c r="A485" t="n">
        <v>4625503</v>
      </c>
      <c r="B485" s="126" t="n">
        <v>46255</v>
      </c>
      <c r="C485" t="n">
        <v>3</v>
      </c>
      <c r="D485" t="inlineStr">
        <is>
          <t>03 a 04</t>
        </is>
      </c>
      <c r="E485" t="inlineStr">
        <is>
          <t>VMC</t>
        </is>
      </c>
      <c r="F485" t="inlineStr">
        <is>
          <t>ILIM</t>
        </is>
      </c>
      <c r="G485" t="inlineStr">
        <is>
          <t>ILIM</t>
        </is>
      </c>
      <c r="H485" t="inlineStr">
        <is>
          <t>NO</t>
        </is>
      </c>
      <c r="I485" t="inlineStr">
        <is>
          <t>SADM 210300Z 16014KT CAVOK 10/06 Q1018</t>
        </is>
      </c>
      <c r="J485" t="inlineStr">
        <is>
          <t>s/d</t>
        </is>
      </c>
      <c r="K485" t="inlineStr">
        <is>
          <t>SADM 210300Z 16014KT CAVOK 10/06 Q1018</t>
        </is>
      </c>
      <c r="L485" t="inlineStr">
        <is>
          <t>-</t>
        </is>
      </c>
    </row>
    <row r="486">
      <c r="A486" t="n">
        <v>4625504</v>
      </c>
      <c r="B486" s="126" t="n">
        <v>46255</v>
      </c>
      <c r="C486" t="n">
        <v>4</v>
      </c>
      <c r="D486" t="inlineStr">
        <is>
          <t>04 a 05</t>
        </is>
      </c>
      <c r="E486" t="inlineStr">
        <is>
          <t>VMC</t>
        </is>
      </c>
      <c r="F486" t="inlineStr">
        <is>
          <t>ILIM</t>
        </is>
      </c>
      <c r="G486" t="inlineStr">
        <is>
          <t>ILIM</t>
        </is>
      </c>
      <c r="H486" t="inlineStr">
        <is>
          <t>NO</t>
        </is>
      </c>
      <c r="I486" t="inlineStr">
        <is>
          <t>SADM 210400Z 18012KT CAVOK 10/06 Q1019</t>
        </is>
      </c>
      <c r="J486" t="inlineStr">
        <is>
          <t>s/d</t>
        </is>
      </c>
      <c r="K486" t="inlineStr">
        <is>
          <t>SADM 210400Z 18012KT CAVOK 10/06 Q1019</t>
        </is>
      </c>
      <c r="L486" t="inlineStr">
        <is>
          <t>-</t>
        </is>
      </c>
    </row>
    <row r="487">
      <c r="A487" t="n">
        <v>4625505</v>
      </c>
      <c r="B487" s="126" t="n">
        <v>46255</v>
      </c>
      <c r="C487" t="n">
        <v>5</v>
      </c>
      <c r="D487" t="inlineStr">
        <is>
          <t>05 a 06</t>
        </is>
      </c>
      <c r="E487" t="inlineStr">
        <is>
          <t>VMC</t>
        </is>
      </c>
      <c r="F487" t="inlineStr">
        <is>
          <t>ILIM</t>
        </is>
      </c>
      <c r="G487" t="inlineStr">
        <is>
          <t>ILIM</t>
        </is>
      </c>
      <c r="H487" t="inlineStr">
        <is>
          <t>NO</t>
        </is>
      </c>
      <c r="I487" t="inlineStr">
        <is>
          <t>SADM 210500Z 18011KT CAVOK 09/05 Q1020</t>
        </is>
      </c>
      <c r="J487" t="inlineStr">
        <is>
          <t>s/d</t>
        </is>
      </c>
      <c r="K487" t="inlineStr">
        <is>
          <t>SADM 210500Z 18011KT CAVOK 09/05 Q1020</t>
        </is>
      </c>
      <c r="L487" t="inlineStr">
        <is>
          <t>-</t>
        </is>
      </c>
    </row>
    <row r="488">
      <c r="A488" t="n">
        <v>4625506</v>
      </c>
      <c r="B488" s="126" t="n">
        <v>46255</v>
      </c>
      <c r="C488" t="n">
        <v>6</v>
      </c>
      <c r="D488" t="inlineStr">
        <is>
          <t>06 a 07</t>
        </is>
      </c>
      <c r="E488" t="inlineStr">
        <is>
          <t>VMC</t>
        </is>
      </c>
      <c r="F488" t="inlineStr">
        <is>
          <t>ILIM</t>
        </is>
      </c>
      <c r="G488" t="inlineStr">
        <is>
          <t>ILIM</t>
        </is>
      </c>
      <c r="H488" t="inlineStr">
        <is>
          <t>NO</t>
        </is>
      </c>
      <c r="I488" t="inlineStr">
        <is>
          <t>SADM 210600Z 18010KT CAVOK 09/05 Q1020</t>
        </is>
      </c>
      <c r="J488" t="inlineStr">
        <is>
          <t>s/d</t>
        </is>
      </c>
      <c r="K488" t="inlineStr">
        <is>
          <t>SADM 210600Z 18010KT CAVOK 09/05 Q1020</t>
        </is>
      </c>
      <c r="L488" t="inlineStr">
        <is>
          <t>-</t>
        </is>
      </c>
    </row>
    <row r="489">
      <c r="A489" t="n">
        <v>4625507</v>
      </c>
      <c r="B489" s="126" t="n">
        <v>46255</v>
      </c>
      <c r="C489" t="n">
        <v>7</v>
      </c>
      <c r="D489" t="inlineStr">
        <is>
          <t>07 a 08</t>
        </is>
      </c>
      <c r="E489" t="inlineStr">
        <is>
          <t>VMC</t>
        </is>
      </c>
      <c r="F489" t="inlineStr">
        <is>
          <t>ILIM</t>
        </is>
      </c>
      <c r="G489" t="inlineStr">
        <is>
          <t>ILIM</t>
        </is>
      </c>
      <c r="H489" t="inlineStr">
        <is>
          <t>NO</t>
        </is>
      </c>
      <c r="I489" t="inlineStr">
        <is>
          <t>SADM 210700Z 18006KT CAVOK 07/03 Q1020</t>
        </is>
      </c>
      <c r="J489" t="inlineStr">
        <is>
          <t>s/d</t>
        </is>
      </c>
      <c r="K489" t="inlineStr">
        <is>
          <t>SADM 210700Z 18006KT CAVOK 07/03 Q1020</t>
        </is>
      </c>
      <c r="L489" t="inlineStr">
        <is>
          <t>-</t>
        </is>
      </c>
    </row>
    <row r="490">
      <c r="A490" t="n">
        <v>4625508</v>
      </c>
      <c r="B490" s="126" t="n">
        <v>46255</v>
      </c>
      <c r="C490" t="n">
        <v>8</v>
      </c>
      <c r="D490" t="inlineStr">
        <is>
          <t>08 a 09</t>
        </is>
      </c>
      <c r="E490" t="inlineStr">
        <is>
          <t>VMC</t>
        </is>
      </c>
      <c r="F490" t="inlineStr">
        <is>
          <t>ILIM</t>
        </is>
      </c>
      <c r="G490" t="inlineStr">
        <is>
          <t>ILIM</t>
        </is>
      </c>
      <c r="H490" t="inlineStr">
        <is>
          <t>NO</t>
        </is>
      </c>
      <c r="I490" t="inlineStr">
        <is>
          <t>SADM 210800Z 20006KT CAVOK 06/02 Q1021</t>
        </is>
      </c>
      <c r="J490" t="inlineStr">
        <is>
          <t>s/d</t>
        </is>
      </c>
      <c r="K490" t="inlineStr">
        <is>
          <t>SADM 210800Z 20006KT CAVOK 06/02 Q1021</t>
        </is>
      </c>
      <c r="L490" t="inlineStr">
        <is>
          <t>-</t>
        </is>
      </c>
    </row>
    <row r="491">
      <c r="A491" t="n">
        <v>4625509</v>
      </c>
      <c r="B491" s="126" t="n">
        <v>46255</v>
      </c>
      <c r="C491" t="n">
        <v>9</v>
      </c>
      <c r="D491" t="inlineStr">
        <is>
          <t>09 a 10</t>
        </is>
      </c>
      <c r="E491" t="inlineStr">
        <is>
          <t>VMC</t>
        </is>
      </c>
      <c r="F491" t="inlineStr">
        <is>
          <t>ILIM</t>
        </is>
      </c>
      <c r="G491" t="inlineStr">
        <is>
          <t>ILIM</t>
        </is>
      </c>
      <c r="H491" t="inlineStr">
        <is>
          <t>NO</t>
        </is>
      </c>
      <c r="I491" t="inlineStr">
        <is>
          <t>SADM 210900Z 20008KT CAVOK 06/02 Q1021</t>
        </is>
      </c>
      <c r="J491" t="inlineStr">
        <is>
          <t>s/d</t>
        </is>
      </c>
      <c r="K491" t="inlineStr">
        <is>
          <t>SADM 210900Z 20008KT CAVOK 06/02 Q1021</t>
        </is>
      </c>
      <c r="L491" t="inlineStr">
        <is>
          <t>-</t>
        </is>
      </c>
    </row>
    <row r="492">
      <c r="A492" t="n">
        <v>4625510</v>
      </c>
      <c r="B492" s="126" t="n">
        <v>46255</v>
      </c>
      <c r="C492" t="n">
        <v>10</v>
      </c>
      <c r="D492" t="inlineStr">
        <is>
          <t>10 a 11</t>
        </is>
      </c>
      <c r="E492" t="inlineStr">
        <is>
          <t>VMC</t>
        </is>
      </c>
      <c r="F492" t="inlineStr">
        <is>
          <t>ILIM</t>
        </is>
      </c>
      <c r="G492" t="inlineStr">
        <is>
          <t>ILIM</t>
        </is>
      </c>
      <c r="H492" t="inlineStr">
        <is>
          <t>NO</t>
        </is>
      </c>
      <c r="I492" t="inlineStr">
        <is>
          <t>SADM 211000Z 20006KT CAVOK 06/02 Q1022</t>
        </is>
      </c>
      <c r="J492" t="inlineStr">
        <is>
          <t>s/d</t>
        </is>
      </c>
      <c r="K492" t="inlineStr">
        <is>
          <t>SADM 211000Z 20006KT CAVOK 06/02 Q1022</t>
        </is>
      </c>
      <c r="L492" t="inlineStr">
        <is>
          <t>-</t>
        </is>
      </c>
    </row>
    <row r="493">
      <c r="A493" s="129" t="n">
        <v>4625511</v>
      </c>
      <c r="B493" s="130" t="n">
        <v>46255</v>
      </c>
      <c r="C493" s="129" t="n">
        <v>11</v>
      </c>
      <c r="D493" s="129" t="inlineStr">
        <is>
          <t>11 a 12</t>
        </is>
      </c>
      <c r="E493" s="129" t="inlineStr">
        <is>
          <t>SIN DATO</t>
        </is>
      </c>
      <c r="F493" s="129" t="inlineStr">
        <is>
          <t>s/d</t>
        </is>
      </c>
      <c r="G493" s="129" t="inlineStr">
        <is>
          <t>s/d</t>
        </is>
      </c>
      <c r="H493" s="129" t="inlineStr">
        <is>
          <t>NO</t>
        </is>
      </c>
      <c r="I493" s="129" t="inlineStr">
        <is>
          <t>s/d</t>
        </is>
      </c>
      <c r="J493" s="129" t="inlineStr">
        <is>
          <t>s/d</t>
        </is>
      </c>
      <c r="K493" s="129" t="inlineStr">
        <is>
          <t>s/d</t>
        </is>
      </c>
      <c r="L493" s="129" t="inlineStr">
        <is>
          <t>-</t>
        </is>
      </c>
    </row>
    <row r="494">
      <c r="A494" s="129" t="n">
        <v>4625512</v>
      </c>
      <c r="B494" s="130" t="n">
        <v>46255</v>
      </c>
      <c r="C494" s="129" t="n">
        <v>12</v>
      </c>
      <c r="D494" s="129" t="inlineStr">
        <is>
          <t>12 a 13</t>
        </is>
      </c>
      <c r="E494" s="129" t="inlineStr">
        <is>
          <t>SIN DATO</t>
        </is>
      </c>
      <c r="F494" s="129" t="inlineStr">
        <is>
          <t>s/d</t>
        </is>
      </c>
      <c r="G494" s="129" t="inlineStr">
        <is>
          <t>s/d</t>
        </is>
      </c>
      <c r="H494" s="129" t="inlineStr">
        <is>
          <t>NO</t>
        </is>
      </c>
      <c r="I494" s="129" t="inlineStr">
        <is>
          <t>s/d</t>
        </is>
      </c>
      <c r="J494" s="129" t="inlineStr">
        <is>
          <t>s/d</t>
        </is>
      </c>
      <c r="K494" s="129" t="inlineStr">
        <is>
          <t>s/d</t>
        </is>
      </c>
      <c r="L494" s="129" t="inlineStr">
        <is>
          <t>-</t>
        </is>
      </c>
    </row>
    <row r="495">
      <c r="A495" s="129" t="n">
        <v>4625513</v>
      </c>
      <c r="B495" s="130" t="n">
        <v>46255</v>
      </c>
      <c r="C495" s="129" t="n">
        <v>13</v>
      </c>
      <c r="D495" s="129" t="inlineStr">
        <is>
          <t>13 a 14</t>
        </is>
      </c>
      <c r="E495" s="129" t="inlineStr">
        <is>
          <t>SIN DATO</t>
        </is>
      </c>
      <c r="F495" s="129" t="inlineStr">
        <is>
          <t>s/d</t>
        </is>
      </c>
      <c r="G495" s="129" t="inlineStr">
        <is>
          <t>s/d</t>
        </is>
      </c>
      <c r="H495" s="129" t="inlineStr">
        <is>
          <t>NO</t>
        </is>
      </c>
      <c r="I495" s="129" t="inlineStr">
        <is>
          <t>s/d</t>
        </is>
      </c>
      <c r="J495" s="129" t="inlineStr">
        <is>
          <t>s/d</t>
        </is>
      </c>
      <c r="K495" s="129" t="inlineStr">
        <is>
          <t>s/d</t>
        </is>
      </c>
      <c r="L495" s="129" t="inlineStr">
        <is>
          <t>-</t>
        </is>
      </c>
    </row>
    <row r="496">
      <c r="A496" s="129" t="n">
        <v>4625514</v>
      </c>
      <c r="B496" s="130" t="n">
        <v>46255</v>
      </c>
      <c r="C496" s="129" t="n">
        <v>14</v>
      </c>
      <c r="D496" s="129" t="inlineStr">
        <is>
          <t>14 a 15</t>
        </is>
      </c>
      <c r="E496" s="129" t="inlineStr">
        <is>
          <t>SIN DATO</t>
        </is>
      </c>
      <c r="F496" s="129" t="inlineStr">
        <is>
          <t>s/d</t>
        </is>
      </c>
      <c r="G496" s="129" t="inlineStr">
        <is>
          <t>s/d</t>
        </is>
      </c>
      <c r="H496" s="129" t="inlineStr">
        <is>
          <t>NO</t>
        </is>
      </c>
      <c r="I496" s="129" t="inlineStr">
        <is>
          <t>s/d</t>
        </is>
      </c>
      <c r="J496" s="129" t="inlineStr">
        <is>
          <t>s/d</t>
        </is>
      </c>
      <c r="K496" s="129" t="inlineStr">
        <is>
          <t>s/d</t>
        </is>
      </c>
      <c r="L496" s="129" t="inlineStr">
        <is>
          <t>-</t>
        </is>
      </c>
    </row>
    <row r="497">
      <c r="A497" s="129" t="n">
        <v>4625515</v>
      </c>
      <c r="B497" s="130" t="n">
        <v>46255</v>
      </c>
      <c r="C497" s="129" t="n">
        <v>15</v>
      </c>
      <c r="D497" s="129" t="inlineStr">
        <is>
          <t>15 a 16</t>
        </is>
      </c>
      <c r="E497" s="129" t="inlineStr">
        <is>
          <t>SIN DATO</t>
        </is>
      </c>
      <c r="F497" s="129" t="inlineStr">
        <is>
          <t>s/d</t>
        </is>
      </c>
      <c r="G497" s="129" t="inlineStr">
        <is>
          <t>s/d</t>
        </is>
      </c>
      <c r="H497" s="129" t="inlineStr">
        <is>
          <t>NO</t>
        </is>
      </c>
      <c r="I497" s="129" t="inlineStr">
        <is>
          <t>s/d</t>
        </is>
      </c>
      <c r="J497" s="129" t="inlineStr">
        <is>
          <t>s/d</t>
        </is>
      </c>
      <c r="K497" s="129" t="inlineStr">
        <is>
          <t>s/d</t>
        </is>
      </c>
      <c r="L497" s="129" t="inlineStr">
        <is>
          <t>-</t>
        </is>
      </c>
    </row>
    <row r="498">
      <c r="A498" s="129" t="n">
        <v>4625516</v>
      </c>
      <c r="B498" s="130" t="n">
        <v>46255</v>
      </c>
      <c r="C498" s="129" t="n">
        <v>16</v>
      </c>
      <c r="D498" s="129" t="inlineStr">
        <is>
          <t>16 a 17</t>
        </is>
      </c>
      <c r="E498" s="129" t="inlineStr">
        <is>
          <t>SIN DATO</t>
        </is>
      </c>
      <c r="F498" s="129" t="inlineStr">
        <is>
          <t>s/d</t>
        </is>
      </c>
      <c r="G498" s="129" t="inlineStr">
        <is>
          <t>s/d</t>
        </is>
      </c>
      <c r="H498" s="129" t="inlineStr">
        <is>
          <t>NO</t>
        </is>
      </c>
      <c r="I498" s="129" t="inlineStr">
        <is>
          <t>s/d</t>
        </is>
      </c>
      <c r="J498" s="129" t="inlineStr">
        <is>
          <t>s/d</t>
        </is>
      </c>
      <c r="K498" s="129" t="inlineStr">
        <is>
          <t>s/d</t>
        </is>
      </c>
      <c r="L498" s="129" t="inlineStr">
        <is>
          <t>-</t>
        </is>
      </c>
    </row>
    <row r="499">
      <c r="A499" s="129" t="n">
        <v>4625517</v>
      </c>
      <c r="B499" s="130" t="n">
        <v>46255</v>
      </c>
      <c r="C499" s="129" t="n">
        <v>17</v>
      </c>
      <c r="D499" s="129" t="inlineStr">
        <is>
          <t>17 a 18</t>
        </is>
      </c>
      <c r="E499" s="129" t="inlineStr">
        <is>
          <t>SIN DATO</t>
        </is>
      </c>
      <c r="F499" s="129" t="inlineStr">
        <is>
          <t>s/d</t>
        </is>
      </c>
      <c r="G499" s="129" t="inlineStr">
        <is>
          <t>s/d</t>
        </is>
      </c>
      <c r="H499" s="129" t="inlineStr">
        <is>
          <t>NO</t>
        </is>
      </c>
      <c r="I499" s="129" t="inlineStr">
        <is>
          <t>s/d</t>
        </is>
      </c>
      <c r="J499" s="129" t="inlineStr">
        <is>
          <t>s/d</t>
        </is>
      </c>
      <c r="K499" s="129" t="inlineStr">
        <is>
          <t>s/d</t>
        </is>
      </c>
      <c r="L499" s="129" t="inlineStr">
        <is>
          <t>-</t>
        </is>
      </c>
    </row>
    <row r="500">
      <c r="A500" s="129" t="n">
        <v>4625518</v>
      </c>
      <c r="B500" s="130" t="n">
        <v>46255</v>
      </c>
      <c r="C500" s="129" t="n">
        <v>18</v>
      </c>
      <c r="D500" s="129" t="inlineStr">
        <is>
          <t>18 a 19</t>
        </is>
      </c>
      <c r="E500" s="129" t="inlineStr">
        <is>
          <t>SIN DATO</t>
        </is>
      </c>
      <c r="F500" s="129" t="inlineStr">
        <is>
          <t>s/d</t>
        </is>
      </c>
      <c r="G500" s="129" t="inlineStr">
        <is>
          <t>s/d</t>
        </is>
      </c>
      <c r="H500" s="129" t="inlineStr">
        <is>
          <t>NO</t>
        </is>
      </c>
      <c r="I500" s="129" t="inlineStr">
        <is>
          <t>s/d</t>
        </is>
      </c>
      <c r="J500" s="129" t="inlineStr">
        <is>
          <t>s/d</t>
        </is>
      </c>
      <c r="K500" s="129" t="inlineStr">
        <is>
          <t>s/d</t>
        </is>
      </c>
      <c r="L500" s="129" t="inlineStr">
        <is>
          <t>-</t>
        </is>
      </c>
    </row>
    <row r="501">
      <c r="A501" s="129" t="n">
        <v>4625519</v>
      </c>
      <c r="B501" s="130" t="n">
        <v>46255</v>
      </c>
      <c r="C501" s="129" t="n">
        <v>19</v>
      </c>
      <c r="D501" s="129" t="inlineStr">
        <is>
          <t>19 a 20</t>
        </is>
      </c>
      <c r="E501" s="129" t="inlineStr">
        <is>
          <t>SIN DATO</t>
        </is>
      </c>
      <c r="F501" s="129" t="inlineStr">
        <is>
          <t>s/d</t>
        </is>
      </c>
      <c r="G501" s="129" t="inlineStr">
        <is>
          <t>s/d</t>
        </is>
      </c>
      <c r="H501" s="129" t="inlineStr">
        <is>
          <t>NO</t>
        </is>
      </c>
      <c r="I501" s="129" t="inlineStr">
        <is>
          <t>s/d</t>
        </is>
      </c>
      <c r="J501" s="129" t="inlineStr">
        <is>
          <t>s/d</t>
        </is>
      </c>
      <c r="K501" s="129" t="inlineStr">
        <is>
          <t>s/d</t>
        </is>
      </c>
      <c r="L501" s="129" t="inlineStr">
        <is>
          <t>-</t>
        </is>
      </c>
    </row>
    <row r="502">
      <c r="A502" s="129" t="n">
        <v>4625520</v>
      </c>
      <c r="B502" s="130" t="n">
        <v>46255</v>
      </c>
      <c r="C502" s="129" t="n">
        <v>20</v>
      </c>
      <c r="D502" s="129" t="inlineStr">
        <is>
          <t>20 a 21</t>
        </is>
      </c>
      <c r="E502" s="129" t="inlineStr">
        <is>
          <t>SIN DATO</t>
        </is>
      </c>
      <c r="F502" s="129" t="inlineStr">
        <is>
          <t>s/d</t>
        </is>
      </c>
      <c r="G502" s="129" t="inlineStr">
        <is>
          <t>s/d</t>
        </is>
      </c>
      <c r="H502" s="129" t="inlineStr">
        <is>
          <t>NO</t>
        </is>
      </c>
      <c r="I502" s="129" t="inlineStr">
        <is>
          <t>s/d</t>
        </is>
      </c>
      <c r="J502" s="129" t="inlineStr">
        <is>
          <t>s/d</t>
        </is>
      </c>
      <c r="K502" s="129" t="inlineStr">
        <is>
          <t>s/d</t>
        </is>
      </c>
      <c r="L502" s="129" t="inlineStr">
        <is>
          <t>-</t>
        </is>
      </c>
    </row>
    <row r="503">
      <c r="A503" s="129" t="n">
        <v>4625521</v>
      </c>
      <c r="B503" s="130" t="n">
        <v>46255</v>
      </c>
      <c r="C503" s="129" t="n">
        <v>21</v>
      </c>
      <c r="D503" s="129" t="inlineStr">
        <is>
          <t>21 a 22</t>
        </is>
      </c>
      <c r="E503" s="129" t="inlineStr">
        <is>
          <t>SIN DATO</t>
        </is>
      </c>
      <c r="F503" s="129" t="inlineStr">
        <is>
          <t>s/d</t>
        </is>
      </c>
      <c r="G503" s="129" t="inlineStr">
        <is>
          <t>s/d</t>
        </is>
      </c>
      <c r="H503" s="129" t="inlineStr">
        <is>
          <t>NO</t>
        </is>
      </c>
      <c r="I503" s="129" t="inlineStr">
        <is>
          <t>s/d</t>
        </is>
      </c>
      <c r="J503" s="129" t="inlineStr">
        <is>
          <t>s/d</t>
        </is>
      </c>
      <c r="K503" s="129" t="inlineStr">
        <is>
          <t>s/d</t>
        </is>
      </c>
      <c r="L503" s="129" t="inlineStr">
        <is>
          <t>-</t>
        </is>
      </c>
    </row>
    <row r="504">
      <c r="A504" s="129" t="n">
        <v>4625522</v>
      </c>
      <c r="B504" s="130" t="n">
        <v>46255</v>
      </c>
      <c r="C504" s="129" t="n">
        <v>22</v>
      </c>
      <c r="D504" s="129" t="inlineStr">
        <is>
          <t>22 a 23</t>
        </is>
      </c>
      <c r="E504" s="129" t="inlineStr">
        <is>
          <t>SIN DATO</t>
        </is>
      </c>
      <c r="F504" s="129" t="inlineStr">
        <is>
          <t>s/d</t>
        </is>
      </c>
      <c r="G504" s="129" t="inlineStr">
        <is>
          <t>s/d</t>
        </is>
      </c>
      <c r="H504" s="129" t="inlineStr">
        <is>
          <t>NO</t>
        </is>
      </c>
      <c r="I504" s="129" t="inlineStr">
        <is>
          <t>s/d</t>
        </is>
      </c>
      <c r="J504" s="129" t="inlineStr">
        <is>
          <t>s/d</t>
        </is>
      </c>
      <c r="K504" s="129" t="inlineStr">
        <is>
          <t>s/d</t>
        </is>
      </c>
      <c r="L504" s="129" t="inlineStr">
        <is>
          <t>-</t>
        </is>
      </c>
    </row>
    <row r="505">
      <c r="A505" s="129" t="n">
        <v>4625523</v>
      </c>
      <c r="B505" s="130" t="n">
        <v>46255</v>
      </c>
      <c r="C505" s="129" t="n">
        <v>23</v>
      </c>
      <c r="D505" s="129" t="inlineStr">
        <is>
          <t>23 a 00</t>
        </is>
      </c>
      <c r="E505" s="129" t="inlineStr">
        <is>
          <t>SIN DATO</t>
        </is>
      </c>
      <c r="F505" s="129" t="inlineStr">
        <is>
          <t>s/d</t>
        </is>
      </c>
      <c r="G505" s="129" t="inlineStr">
        <is>
          <t>s/d</t>
        </is>
      </c>
      <c r="H505" s="129" t="inlineStr">
        <is>
          <t>NO</t>
        </is>
      </c>
      <c r="I505" s="129" t="inlineStr">
        <is>
          <t>s/d</t>
        </is>
      </c>
      <c r="J505" s="129" t="inlineStr">
        <is>
          <t>s/d</t>
        </is>
      </c>
      <c r="K505" s="129" t="inlineStr">
        <is>
          <t>s/d</t>
        </is>
      </c>
      <c r="L505" s="129" t="inlineStr">
        <is>
          <t>-</t>
        </is>
      </c>
    </row>
  </sheetData>
  <autoFilter ref="A1:L50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04"/>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0" customWidth="1" min="3" max="3"/>
    <col width="13" customWidth="1" min="4" max="4"/>
    <col width="15" customWidth="1" min="5" max="5"/>
    <col width="19" customWidth="1" min="6" max="6"/>
    <col width="22" customWidth="1" min="7" max="7"/>
    <col width="62" customWidth="1" min="8" max="8"/>
  </cols>
  <sheetData>
    <row r="1">
      <c r="A1" s="125" t="inlineStr">
        <is>
          <t>HOJA</t>
        </is>
      </c>
      <c r="B1" s="125" t="inlineStr">
        <is>
          <t>FECHA</t>
        </is>
      </c>
      <c r="C1" s="125" t="inlineStr">
        <is>
          <t>FRANJA</t>
        </is>
      </c>
      <c r="D1" s="125" t="inlineStr">
        <is>
          <t>MOVIMIENTOS</t>
        </is>
      </c>
      <c r="E1" s="125" t="inlineStr">
        <is>
          <t>MARCA_MANUAL</t>
        </is>
      </c>
      <c r="F1" s="125" t="inlineStr">
        <is>
          <t>CLASIF_AUTOMATICA</t>
        </is>
      </c>
      <c r="G1" s="125" t="inlineStr">
        <is>
          <t>MOTIVO</t>
        </is>
      </c>
      <c r="H1" s="125" t="inlineStr">
        <is>
          <t>METAR</t>
        </is>
      </c>
    </row>
    <row r="2">
      <c r="A2" s="127" t="inlineStr">
        <is>
          <t>17</t>
        </is>
      </c>
      <c r="B2" s="127" t="inlineStr">
        <is>
          <t>2026-08-17</t>
        </is>
      </c>
      <c r="C2" s="127" t="inlineStr">
        <is>
          <t>12 a 13</t>
        </is>
      </c>
      <c r="D2" s="127" t="n">
        <v>53</v>
      </c>
      <c r="E2" s="127" t="inlineStr">
        <is>
          <t>-</t>
        </is>
      </c>
      <c r="F2" s="127" t="inlineStr">
        <is>
          <t>IMC</t>
        </is>
      </c>
      <c r="G2" s="127" t="inlineStr">
        <is>
          <t>techo 1300 ft</t>
        </is>
      </c>
      <c r="H2" s="127" t="inlineStr">
        <is>
          <t>SADM 171200Z 14010KT 9999 OVC013 12/09 Q1017</t>
        </is>
      </c>
    </row>
    <row r="3">
      <c r="A3" s="127" t="inlineStr">
        <is>
          <t>3</t>
        </is>
      </c>
      <c r="B3" s="127" t="inlineStr">
        <is>
          <t>2026-08-03</t>
        </is>
      </c>
      <c r="C3" s="127" t="inlineStr">
        <is>
          <t>19 a 20</t>
        </is>
      </c>
      <c r="D3" s="127" t="n">
        <v>46</v>
      </c>
      <c r="E3" s="127" t="inlineStr">
        <is>
          <t>-</t>
        </is>
      </c>
      <c r="F3" s="127" t="inlineStr">
        <is>
          <t>IMC</t>
        </is>
      </c>
      <c r="G3" s="127" t="inlineStr">
        <is>
          <t>techo 1200 ft</t>
        </is>
      </c>
      <c r="H3" s="127" t="inlineStr">
        <is>
          <t>SADM 031900Z 11006KT 9999 OVC012 16/13 Q1015</t>
        </is>
      </c>
    </row>
    <row r="4">
      <c r="A4" s="127" t="inlineStr">
        <is>
          <t>17</t>
        </is>
      </c>
      <c r="B4" s="127" t="inlineStr">
        <is>
          <t>2026-08-17</t>
        </is>
      </c>
      <c r="C4" s="127" t="inlineStr">
        <is>
          <t>16 a 17</t>
        </is>
      </c>
      <c r="D4" s="127" t="n">
        <v>43</v>
      </c>
      <c r="E4" s="127" t="inlineStr">
        <is>
          <t>-</t>
        </is>
      </c>
      <c r="F4" s="127" t="inlineStr">
        <is>
          <t>IMC</t>
        </is>
      </c>
      <c r="G4" s="127" t="inlineStr">
        <is>
          <t>techo 1400 ft</t>
        </is>
      </c>
      <c r="H4" s="127" t="inlineStr">
        <is>
          <t>SADM 171600Z 14011KT 9999 OVC014 12/09 Q1018</t>
        </is>
      </c>
    </row>
    <row r="5">
      <c r="A5" s="127" t="inlineStr">
        <is>
          <t>17</t>
        </is>
      </c>
      <c r="B5" s="127" t="inlineStr">
        <is>
          <t>2026-08-17</t>
        </is>
      </c>
      <c r="C5" s="127" t="inlineStr">
        <is>
          <t>14 a 15</t>
        </is>
      </c>
      <c r="D5" s="127" t="n">
        <v>34</v>
      </c>
      <c r="E5" s="127" t="inlineStr">
        <is>
          <t>-</t>
        </is>
      </c>
      <c r="F5" s="127" t="inlineStr">
        <is>
          <t>IMC</t>
        </is>
      </c>
      <c r="G5" s="127" t="inlineStr">
        <is>
          <t>techo 1000 ft</t>
        </is>
      </c>
      <c r="H5" s="127" t="inlineStr">
        <is>
          <t>SADM 171400Z 16010KT 9999 OVC010 13/10 Q1018</t>
        </is>
      </c>
    </row>
    <row r="6">
      <c r="A6" s="127" t="inlineStr">
        <is>
          <t>17</t>
        </is>
      </c>
      <c r="B6" s="127" t="inlineStr">
        <is>
          <t>2026-08-17</t>
        </is>
      </c>
      <c r="C6" s="127" t="inlineStr">
        <is>
          <t>15 a 16</t>
        </is>
      </c>
      <c r="D6" s="127" t="n">
        <v>30</v>
      </c>
      <c r="E6" s="127" t="inlineStr">
        <is>
          <t>-</t>
        </is>
      </c>
      <c r="F6" s="127" t="inlineStr">
        <is>
          <t>IMC</t>
        </is>
      </c>
      <c r="G6" s="127" t="inlineStr">
        <is>
          <t>techo 1000 ft</t>
        </is>
      </c>
      <c r="H6" s="127" t="inlineStr">
        <is>
          <t>COR SADM 171500Z 14013KT 9999 OVC010 12/10 Q1018</t>
        </is>
      </c>
    </row>
    <row r="7">
      <c r="A7" s="127" t="inlineStr">
        <is>
          <t>5</t>
        </is>
      </c>
      <c r="B7" s="127" t="inlineStr">
        <is>
          <t>2026-08-05</t>
        </is>
      </c>
      <c r="C7" s="127" t="inlineStr">
        <is>
          <t>18 a 19</t>
        </is>
      </c>
      <c r="D7" s="127" t="n">
        <v>28</v>
      </c>
      <c r="E7" s="127" t="inlineStr">
        <is>
          <t>-</t>
        </is>
      </c>
      <c r="F7" s="127" t="inlineStr">
        <is>
          <t>IMC</t>
        </is>
      </c>
      <c r="G7" s="127" t="inlineStr">
        <is>
          <t>techo 1400 ft</t>
        </is>
      </c>
      <c r="H7" s="127" t="inlineStr">
        <is>
          <t>SADM 051800Z 11002KT 9999 OVC014 16/14 Q1011</t>
        </is>
      </c>
    </row>
    <row r="8">
      <c r="A8" s="127" t="inlineStr">
        <is>
          <t>3</t>
        </is>
      </c>
      <c r="B8" s="127" t="inlineStr">
        <is>
          <t>2026-08-03</t>
        </is>
      </c>
      <c r="C8" s="127" t="inlineStr">
        <is>
          <t>18 a 19</t>
        </is>
      </c>
      <c r="D8" s="127" t="n">
        <v>24</v>
      </c>
      <c r="E8" s="127" t="inlineStr">
        <is>
          <t>-</t>
        </is>
      </c>
      <c r="F8" s="127" t="inlineStr">
        <is>
          <t>IMC</t>
        </is>
      </c>
      <c r="G8" s="127" t="inlineStr">
        <is>
          <t>techo 1100 ft</t>
        </is>
      </c>
      <c r="H8" s="127" t="inlineStr">
        <is>
          <t>SADM 031800Z 14008KT 9999 OVC011 16/13 Q1015</t>
        </is>
      </c>
    </row>
    <row r="9">
      <c r="A9" s="127" t="inlineStr">
        <is>
          <t>3</t>
        </is>
      </c>
      <c r="B9" s="127" t="inlineStr">
        <is>
          <t>2026-08-03</t>
        </is>
      </c>
      <c r="C9" s="127" t="inlineStr">
        <is>
          <t>20 a 21</t>
        </is>
      </c>
      <c r="D9" s="127" t="n">
        <v>21</v>
      </c>
      <c r="E9" s="127" t="inlineStr">
        <is>
          <t>-</t>
        </is>
      </c>
      <c r="F9" s="127" t="inlineStr">
        <is>
          <t>IMC</t>
        </is>
      </c>
      <c r="G9" s="127" t="inlineStr">
        <is>
          <t>techo 1200 ft</t>
        </is>
      </c>
      <c r="H9" s="127" t="inlineStr">
        <is>
          <t>SADM 032000Z 09007KT 9999 BKN012 OVC050 16/13 Q1015</t>
        </is>
      </c>
    </row>
    <row r="10">
      <c r="A10" s="127" t="inlineStr">
        <is>
          <t>17</t>
        </is>
      </c>
      <c r="B10" s="127" t="inlineStr">
        <is>
          <t>2026-08-17</t>
        </is>
      </c>
      <c r="C10" s="127" t="inlineStr">
        <is>
          <t>13 a 14</t>
        </is>
      </c>
      <c r="D10" s="127" t="n">
        <v>17</v>
      </c>
      <c r="E10" s="127" t="inlineStr">
        <is>
          <t>-</t>
        </is>
      </c>
      <c r="F10" s="127" t="inlineStr">
        <is>
          <t>IMC</t>
        </is>
      </c>
      <c r="G10" s="127" t="inlineStr">
        <is>
          <t>techo 1000 ft</t>
        </is>
      </c>
      <c r="H10" s="127" t="inlineStr">
        <is>
          <t>SADM 171300Z 16010KT 9999 OVC010 12/09 Q1018</t>
        </is>
      </c>
    </row>
    <row r="11">
      <c r="A11" s="127" t="inlineStr">
        <is>
          <t>17</t>
        </is>
      </c>
      <c r="B11" s="127" t="inlineStr">
        <is>
          <t>2026-08-17</t>
        </is>
      </c>
      <c r="C11" s="127" t="inlineStr">
        <is>
          <t>11 a 12</t>
        </is>
      </c>
      <c r="D11" s="127" t="n">
        <v>8</v>
      </c>
      <c r="E11" s="127" t="inlineStr">
        <is>
          <t>-</t>
        </is>
      </c>
      <c r="F11" s="127" t="inlineStr">
        <is>
          <t>IMC</t>
        </is>
      </c>
      <c r="G11" s="127" t="inlineStr">
        <is>
          <t>techo 1300 ft</t>
        </is>
      </c>
      <c r="H11" s="127" t="inlineStr">
        <is>
          <t>SADM 171100Z 14010KT 9999 OVC013 11/10 Q1016</t>
        </is>
      </c>
    </row>
    <row r="12">
      <c r="A12" s="127" t="inlineStr">
        <is>
          <t>18</t>
        </is>
      </c>
      <c r="B12" s="127" t="inlineStr">
        <is>
          <t>2026-08-18</t>
        </is>
      </c>
      <c r="C12" s="127" t="inlineStr">
        <is>
          <t>13 a 14</t>
        </is>
      </c>
      <c r="D12" s="127" t="n">
        <v>6</v>
      </c>
      <c r="E12" s="127" t="inlineStr">
        <is>
          <t>-</t>
        </is>
      </c>
      <c r="F12" s="127" t="inlineStr">
        <is>
          <t>IMC</t>
        </is>
      </c>
      <c r="G12" s="127" t="inlineStr">
        <is>
          <t>techo 1100 ft</t>
        </is>
      </c>
      <c r="H12" s="127" t="inlineStr">
        <is>
          <t>SADM 181300Z 14010KT 9999 BKN011 OVC013 08/05 Q1022</t>
        </is>
      </c>
    </row>
    <row r="13">
      <c r="A13" s="127" t="inlineStr">
        <is>
          <t>19</t>
        </is>
      </c>
      <c r="B13" s="127" t="inlineStr">
        <is>
          <t>2026-08-19</t>
        </is>
      </c>
      <c r="C13" s="127" t="inlineStr">
        <is>
          <t>12 a 13</t>
        </is>
      </c>
      <c r="D13" s="127" t="n">
        <v>5</v>
      </c>
      <c r="E13" s="127" t="inlineStr">
        <is>
          <t>-</t>
        </is>
      </c>
      <c r="F13" s="127" t="inlineStr">
        <is>
          <t>IMC</t>
        </is>
      </c>
      <c r="G13" s="127" t="inlineStr">
        <is>
          <t>vis 4000 m</t>
        </is>
      </c>
      <c r="H13" s="127" t="inlineStr">
        <is>
          <t>SADM 191200Z 14005KT 4000 FU NSC 07/05 Q1024</t>
        </is>
      </c>
    </row>
    <row r="14">
      <c r="A14" s="127" t="inlineStr">
        <is>
          <t>13</t>
        </is>
      </c>
      <c r="B14" s="127" t="inlineStr">
        <is>
          <t>2026-08-13</t>
        </is>
      </c>
      <c r="C14" s="127" t="inlineStr">
        <is>
          <t>21 a 22</t>
        </is>
      </c>
      <c r="D14" s="127" t="n">
        <v>4</v>
      </c>
      <c r="E14" s="127" t="inlineStr">
        <is>
          <t>-</t>
        </is>
      </c>
      <c r="F14" s="127" t="inlineStr">
        <is>
          <t>IMC</t>
        </is>
      </c>
      <c r="G14" s="127" t="inlineStr">
        <is>
          <t>vis 3000 m</t>
        </is>
      </c>
      <c r="H14" s="127" t="inlineStr">
        <is>
          <t>SADM 132100Z 14007KT 5000 -RA BR FEW018 OVC100 10/06 Q1026</t>
        </is>
      </c>
    </row>
    <row r="15">
      <c r="A15" s="127" t="inlineStr">
        <is>
          <t>1</t>
        </is>
      </c>
      <c r="B15" s="127" t="inlineStr">
        <is>
          <t>2026-08-01</t>
        </is>
      </c>
      <c r="C15" s="127" t="inlineStr">
        <is>
          <t>14 a 15</t>
        </is>
      </c>
      <c r="D15" s="127" t="n">
        <v>3</v>
      </c>
      <c r="E15" s="127" t="inlineStr">
        <is>
          <t>-</t>
        </is>
      </c>
      <c r="F15" s="127" t="inlineStr">
        <is>
          <t>IMC</t>
        </is>
      </c>
      <c r="G15" s="127" t="inlineStr">
        <is>
          <t>techo 800 ft</t>
        </is>
      </c>
      <c r="H15" s="127" t="inlineStr">
        <is>
          <t>SADM 011400Z 20009KT 9999 BKN008 OVC025 16/15 Q1012</t>
        </is>
      </c>
    </row>
    <row r="16">
      <c r="A16" s="127" t="inlineStr">
        <is>
          <t>15</t>
        </is>
      </c>
      <c r="B16" s="127" t="inlineStr">
        <is>
          <t>2026-08-15</t>
        </is>
      </c>
      <c r="C16" s="127" t="inlineStr">
        <is>
          <t>16 a 17</t>
        </is>
      </c>
      <c r="D16" s="127" t="n">
        <v>3</v>
      </c>
      <c r="E16" s="127" t="inlineStr">
        <is>
          <t>-</t>
        </is>
      </c>
      <c r="F16" s="127" t="inlineStr">
        <is>
          <t>IMC</t>
        </is>
      </c>
      <c r="G16" s="127" t="inlineStr">
        <is>
          <t>techo 1000 ft</t>
        </is>
      </c>
      <c r="H16" s="127" t="inlineStr">
        <is>
          <t>SADM 151600Z 05009KT 9999 BKN010 OVC012 15/12 Q1016</t>
        </is>
      </c>
    </row>
    <row r="17">
      <c r="A17" s="127" t="inlineStr">
        <is>
          <t>3</t>
        </is>
      </c>
      <c r="B17" s="127" t="inlineStr">
        <is>
          <t>2026-08-03</t>
        </is>
      </c>
      <c r="C17" s="127" t="inlineStr">
        <is>
          <t>17 a 18</t>
        </is>
      </c>
      <c r="D17" s="127" t="n">
        <v>2</v>
      </c>
      <c r="E17" s="127" t="inlineStr">
        <is>
          <t>-</t>
        </is>
      </c>
      <c r="F17" s="127" t="inlineStr">
        <is>
          <t>IMC</t>
        </is>
      </c>
      <c r="G17" s="127" t="inlineStr">
        <is>
          <t>techo 1000 ft</t>
        </is>
      </c>
      <c r="H17" s="127" t="inlineStr">
        <is>
          <t>SADM 031700Z 14006KT 7000 SCT007 OVC010 16/14 Q1015</t>
        </is>
      </c>
    </row>
    <row r="18">
      <c r="A18" s="127" t="inlineStr">
        <is>
          <t>5</t>
        </is>
      </c>
      <c r="B18" s="127" t="inlineStr">
        <is>
          <t>2026-08-05</t>
        </is>
      </c>
      <c r="C18" s="127" t="inlineStr">
        <is>
          <t>16 a 17</t>
        </is>
      </c>
      <c r="D18" s="127" t="n">
        <v>2</v>
      </c>
      <c r="E18" s="127" t="inlineStr">
        <is>
          <t>-</t>
        </is>
      </c>
      <c r="F18" s="127" t="inlineStr">
        <is>
          <t>IMC</t>
        </is>
      </c>
      <c r="G18" s="127" t="inlineStr">
        <is>
          <t>techo 1300 ft</t>
        </is>
      </c>
      <c r="H18" s="127" t="inlineStr">
        <is>
          <t>SADM 051600Z 18008KT 9999 BKN013 15/13 Q1013</t>
        </is>
      </c>
    </row>
    <row r="19">
      <c r="A19" s="127" t="inlineStr">
        <is>
          <t>6</t>
        </is>
      </c>
      <c r="B19" s="127" t="inlineStr">
        <is>
          <t>2026-08-06</t>
        </is>
      </c>
      <c r="C19" s="127" t="inlineStr">
        <is>
          <t>19 a 20</t>
        </is>
      </c>
      <c r="D19" s="127" t="n">
        <v>1</v>
      </c>
      <c r="E19" s="127" t="inlineStr">
        <is>
          <t>-</t>
        </is>
      </c>
      <c r="F19" s="127" t="inlineStr">
        <is>
          <t>IMC</t>
        </is>
      </c>
      <c r="G19" s="127" t="inlineStr">
        <is>
          <t>techo 1400 ft</t>
        </is>
      </c>
      <c r="H19" s="127" t="inlineStr">
        <is>
          <t>SADM 061900Z 18012KT 9999 BKN014 OVC100 13/11 Q1001</t>
        </is>
      </c>
    </row>
    <row r="20">
      <c r="A20" s="127" t="inlineStr">
        <is>
          <t>6</t>
        </is>
      </c>
      <c r="B20" s="127" t="inlineStr">
        <is>
          <t>2026-08-06</t>
        </is>
      </c>
      <c r="C20" s="127" t="inlineStr">
        <is>
          <t>20 a 21</t>
        </is>
      </c>
      <c r="D20" s="127" t="n">
        <v>1</v>
      </c>
      <c r="E20" s="127" t="inlineStr">
        <is>
          <t>-</t>
        </is>
      </c>
      <c r="F20" s="127" t="inlineStr">
        <is>
          <t>IMC</t>
        </is>
      </c>
      <c r="G20" s="127" t="inlineStr">
        <is>
          <t>vis 500 m + techo 300 ft</t>
        </is>
      </c>
      <c r="H20" s="127" t="inlineStr">
        <is>
          <t>SADM 062000Z 23011KT 9999 BKN015 OVC100 13/11 Q1003</t>
        </is>
      </c>
    </row>
    <row r="21">
      <c r="A21" s="127" t="inlineStr">
        <is>
          <t>15</t>
        </is>
      </c>
      <c r="B21" s="127" t="inlineStr">
        <is>
          <t>2026-08-15</t>
        </is>
      </c>
      <c r="C21" s="127" t="inlineStr">
        <is>
          <t>11 a 12</t>
        </is>
      </c>
      <c r="D21" s="127" t="n">
        <v>1</v>
      </c>
      <c r="E21" s="127" t="inlineStr">
        <is>
          <t>-</t>
        </is>
      </c>
      <c r="F21" s="127" t="inlineStr">
        <is>
          <t>IMC</t>
        </is>
      </c>
      <c r="G21" s="127" t="inlineStr">
        <is>
          <t>techo 1200 ft</t>
        </is>
      </c>
      <c r="H21" s="127" t="inlineStr">
        <is>
          <t>SADM 151100Z 05006KT 9999 OVC012 14/11 Q1019</t>
        </is>
      </c>
    </row>
    <row r="22">
      <c r="A22" s="127" t="inlineStr">
        <is>
          <t>15</t>
        </is>
      </c>
      <c r="B22" s="127" t="inlineStr">
        <is>
          <t>2026-08-15</t>
        </is>
      </c>
      <c r="C22" s="127" t="inlineStr">
        <is>
          <t>17 a 18</t>
        </is>
      </c>
      <c r="D22" s="127" t="n">
        <v>1</v>
      </c>
      <c r="E22" s="127" t="inlineStr">
        <is>
          <t>-</t>
        </is>
      </c>
      <c r="F22" s="127" t="inlineStr">
        <is>
          <t>IMC</t>
        </is>
      </c>
      <c r="G22" s="127" t="inlineStr">
        <is>
          <t>techo 800 ft</t>
        </is>
      </c>
      <c r="H22" s="127" t="inlineStr">
        <is>
          <t>SADM 151700Z 05005KT 9999 BKN010 OVC012 15/13 Q1014</t>
        </is>
      </c>
    </row>
    <row r="23">
      <c r="A23" s="127" t="inlineStr">
        <is>
          <t>18</t>
        </is>
      </c>
      <c r="B23" s="127" t="inlineStr">
        <is>
          <t>2026-08-18</t>
        </is>
      </c>
      <c r="C23" s="127" t="inlineStr">
        <is>
          <t>12 a 13</t>
        </is>
      </c>
      <c r="D23" s="127" t="n">
        <v>1</v>
      </c>
      <c r="E23" s="127" t="inlineStr">
        <is>
          <t>-</t>
        </is>
      </c>
      <c r="F23" s="127" t="inlineStr">
        <is>
          <t>IMC</t>
        </is>
      </c>
      <c r="G23" s="127" t="inlineStr">
        <is>
          <t>techo 900 ft</t>
        </is>
      </c>
      <c r="H23" s="127" t="inlineStr">
        <is>
          <t>SADM 181200Z 14011KT 9999 BKN009 OVC010 08/05 Q1022</t>
        </is>
      </c>
    </row>
    <row r="24">
      <c r="A24" t="inlineStr">
        <is>
          <t>1</t>
        </is>
      </c>
      <c r="B24" t="inlineStr">
        <is>
          <t>2026-08-01</t>
        </is>
      </c>
      <c r="C24" t="inlineStr">
        <is>
          <t>08 a 09</t>
        </is>
      </c>
      <c r="D24" t="n">
        <v>0</v>
      </c>
      <c r="E24" t="inlineStr">
        <is>
          <t>-</t>
        </is>
      </c>
      <c r="F24" t="inlineStr">
        <is>
          <t>IMC</t>
        </is>
      </c>
      <c r="G24" t="inlineStr">
        <is>
          <t>techo 600 ft</t>
        </is>
      </c>
      <c r="H24" t="inlineStr">
        <is>
          <t>SADM 010800Z 20010KT 9999 OVC006 18/17 Q1007</t>
        </is>
      </c>
    </row>
    <row r="25">
      <c r="A25" t="inlineStr">
        <is>
          <t>1</t>
        </is>
      </c>
      <c r="B25" t="inlineStr">
        <is>
          <t>2026-08-01</t>
        </is>
      </c>
      <c r="C25" t="inlineStr">
        <is>
          <t>09 a 10</t>
        </is>
      </c>
      <c r="D25" t="n">
        <v>0</v>
      </c>
      <c r="E25" t="inlineStr">
        <is>
          <t>-</t>
        </is>
      </c>
      <c r="F25" t="inlineStr">
        <is>
          <t>IMC</t>
        </is>
      </c>
      <c r="G25" t="inlineStr">
        <is>
          <t>techo 900 ft</t>
        </is>
      </c>
      <c r="H25" t="inlineStr">
        <is>
          <t>SADM 010900Z 20011KT 9999 OVC009 17/16 Q1008</t>
        </is>
      </c>
    </row>
    <row r="26">
      <c r="A26" t="inlineStr">
        <is>
          <t>1</t>
        </is>
      </c>
      <c r="B26" t="inlineStr">
        <is>
          <t>2026-08-01</t>
        </is>
      </c>
      <c r="C26" t="inlineStr">
        <is>
          <t>10 a 11</t>
        </is>
      </c>
      <c r="D26" t="n">
        <v>0</v>
      </c>
      <c r="E26" t="inlineStr">
        <is>
          <t>-</t>
        </is>
      </c>
      <c r="F26" t="inlineStr">
        <is>
          <t>IMC</t>
        </is>
      </c>
      <c r="G26" t="inlineStr">
        <is>
          <t>techo 1100 ft</t>
        </is>
      </c>
      <c r="H26" t="inlineStr">
        <is>
          <t>SADM 011000Z 19016KT 9999 OVC011 16/15 Q1007</t>
        </is>
      </c>
    </row>
    <row r="27">
      <c r="A27" t="inlineStr">
        <is>
          <t>2</t>
        </is>
      </c>
      <c r="B27" t="inlineStr">
        <is>
          <t>2026-08-02</t>
        </is>
      </c>
      <c r="C27" t="inlineStr">
        <is>
          <t>06 a 07</t>
        </is>
      </c>
      <c r="D27" t="n">
        <v>0</v>
      </c>
      <c r="E27" t="inlineStr">
        <is>
          <t>-</t>
        </is>
      </c>
      <c r="F27" t="inlineStr">
        <is>
          <t>IMC</t>
        </is>
      </c>
      <c r="G27" t="inlineStr">
        <is>
          <t>techo 1400 ft</t>
        </is>
      </c>
      <c r="H27" t="inlineStr">
        <is>
          <t>SADM 020600Z 14002KT 7000 MIFG BKN014 10/09 Q1015</t>
        </is>
      </c>
    </row>
    <row r="28">
      <c r="A28" t="inlineStr">
        <is>
          <t>2</t>
        </is>
      </c>
      <c r="B28" t="inlineStr">
        <is>
          <t>2026-08-02</t>
        </is>
      </c>
      <c r="C28" t="inlineStr">
        <is>
          <t>08 a 09</t>
        </is>
      </c>
      <c r="D28" t="n">
        <v>0</v>
      </c>
      <c r="E28" t="inlineStr">
        <is>
          <t>-</t>
        </is>
      </c>
      <c r="F28" t="inlineStr">
        <is>
          <t>IMC</t>
        </is>
      </c>
      <c r="G28" t="inlineStr">
        <is>
          <t>vis 3000 m</t>
        </is>
      </c>
      <c r="H28" t="inlineStr">
        <is>
          <t>SADM 020800Z 16002KT 3000 MIFG BR BKN017 10/10 Q1015</t>
        </is>
      </c>
    </row>
    <row r="29">
      <c r="A29" t="inlineStr">
        <is>
          <t>2</t>
        </is>
      </c>
      <c r="B29" t="inlineStr">
        <is>
          <t>2026-08-02</t>
        </is>
      </c>
      <c r="C29" t="inlineStr">
        <is>
          <t>09 a 10</t>
        </is>
      </c>
      <c r="D29" t="n">
        <v>0</v>
      </c>
      <c r="E29" t="inlineStr">
        <is>
          <t>-</t>
        </is>
      </c>
      <c r="F29" t="inlineStr">
        <is>
          <t>IMC</t>
        </is>
      </c>
      <c r="G29" t="inlineStr">
        <is>
          <t>techo 1000 ft</t>
        </is>
      </c>
      <c r="H29" t="inlineStr">
        <is>
          <t>SADM 020900Z 05003KT 9999 OVC010 12/10 Q1016</t>
        </is>
      </c>
    </row>
    <row r="30">
      <c r="A30" t="inlineStr">
        <is>
          <t>2</t>
        </is>
      </c>
      <c r="B30" t="inlineStr">
        <is>
          <t>2026-08-02</t>
        </is>
      </c>
      <c r="C30" t="inlineStr">
        <is>
          <t>10 a 11</t>
        </is>
      </c>
      <c r="D30" t="n">
        <v>0</v>
      </c>
      <c r="E30" t="inlineStr">
        <is>
          <t>-</t>
        </is>
      </c>
      <c r="F30" t="inlineStr">
        <is>
          <t>IMC</t>
        </is>
      </c>
      <c r="G30" t="inlineStr">
        <is>
          <t>techo 300 ft</t>
        </is>
      </c>
      <c r="H30" t="inlineStr">
        <is>
          <t>SADM 021000Z 05008KT 9999 OVC003 12/10 Q1016</t>
        </is>
      </c>
    </row>
    <row r="31">
      <c r="A31" t="inlineStr">
        <is>
          <t>3</t>
        </is>
      </c>
      <c r="B31" t="inlineStr">
        <is>
          <t>2026-08-03</t>
        </is>
      </c>
      <c r="C31" t="inlineStr">
        <is>
          <t>08 a 09</t>
        </is>
      </c>
      <c r="D31" t="n">
        <v>0</v>
      </c>
      <c r="E31" t="inlineStr">
        <is>
          <t>-</t>
        </is>
      </c>
      <c r="F31" t="inlineStr">
        <is>
          <t>IMC</t>
        </is>
      </c>
      <c r="G31" t="inlineStr">
        <is>
          <t>vis 3000 m</t>
        </is>
      </c>
      <c r="H31" t="inlineStr">
        <is>
          <t>SADM 030800Z 11001KT 3000 BR NSC 12/12 Q1015</t>
        </is>
      </c>
    </row>
    <row r="32">
      <c r="A32" t="inlineStr">
        <is>
          <t>3</t>
        </is>
      </c>
      <c r="B32" t="inlineStr">
        <is>
          <t>2026-08-03</t>
        </is>
      </c>
      <c r="C32" t="inlineStr">
        <is>
          <t>09 a 10</t>
        </is>
      </c>
      <c r="D32" t="n">
        <v>0</v>
      </c>
      <c r="E32" t="inlineStr">
        <is>
          <t>-</t>
        </is>
      </c>
      <c r="F32" t="inlineStr">
        <is>
          <t>IMC</t>
        </is>
      </c>
      <c r="G32" t="inlineStr">
        <is>
          <t>vis 3000 m</t>
        </is>
      </c>
      <c r="H32" t="inlineStr">
        <is>
          <t>SADM 030900Z 09002KT 3000 BR NSC 14/13 Q1015</t>
        </is>
      </c>
    </row>
    <row r="33">
      <c r="A33" t="inlineStr">
        <is>
          <t>4</t>
        </is>
      </c>
      <c r="B33" t="inlineStr">
        <is>
          <t>2026-08-04</t>
        </is>
      </c>
      <c r="C33" t="inlineStr">
        <is>
          <t>02 a 03</t>
        </is>
      </c>
      <c r="D33" t="n">
        <v>0</v>
      </c>
      <c r="E33" t="inlineStr">
        <is>
          <t>-</t>
        </is>
      </c>
      <c r="F33" t="inlineStr">
        <is>
          <t>IMC</t>
        </is>
      </c>
      <c r="G33" t="inlineStr">
        <is>
          <t>techo 1200 ft</t>
        </is>
      </c>
      <c r="H33" t="inlineStr">
        <is>
          <t>SADM 040200Z 14007KT 9999 OVC012 14/13 Q1016</t>
        </is>
      </c>
    </row>
    <row r="34">
      <c r="A34" t="inlineStr">
        <is>
          <t>4</t>
        </is>
      </c>
      <c r="B34" t="inlineStr">
        <is>
          <t>2026-08-04</t>
        </is>
      </c>
      <c r="C34" t="inlineStr">
        <is>
          <t>03 a 04</t>
        </is>
      </c>
      <c r="D34" t="n">
        <v>0</v>
      </c>
      <c r="E34" t="inlineStr">
        <is>
          <t>-</t>
        </is>
      </c>
      <c r="F34" t="inlineStr">
        <is>
          <t>IMC</t>
        </is>
      </c>
      <c r="G34" t="inlineStr">
        <is>
          <t>techo 1000 ft</t>
        </is>
      </c>
      <c r="H34" t="inlineStr">
        <is>
          <t>SADM 040300Z 14005KT 9999 OVC010 14/13 Q1017</t>
        </is>
      </c>
    </row>
    <row r="35">
      <c r="A35" t="inlineStr">
        <is>
          <t>4</t>
        </is>
      </c>
      <c r="B35" t="inlineStr">
        <is>
          <t>2026-08-04</t>
        </is>
      </c>
      <c r="C35" t="inlineStr">
        <is>
          <t>04 a 05</t>
        </is>
      </c>
      <c r="D35" t="n">
        <v>0</v>
      </c>
      <c r="E35" t="inlineStr">
        <is>
          <t>-</t>
        </is>
      </c>
      <c r="F35" t="inlineStr">
        <is>
          <t>IMC</t>
        </is>
      </c>
      <c r="G35" t="inlineStr">
        <is>
          <t>techo 800 ft</t>
        </is>
      </c>
      <c r="H35" t="inlineStr">
        <is>
          <t>SADM 040400Z 14007KT 9999 OVC008 14/13 Q1017</t>
        </is>
      </c>
    </row>
    <row r="36">
      <c r="A36" t="inlineStr">
        <is>
          <t>4</t>
        </is>
      </c>
      <c r="B36" t="inlineStr">
        <is>
          <t>2026-08-04</t>
        </is>
      </c>
      <c r="C36" t="inlineStr">
        <is>
          <t>05 a 06</t>
        </is>
      </c>
      <c r="D36" t="n">
        <v>0</v>
      </c>
      <c r="E36" t="inlineStr">
        <is>
          <t>-</t>
        </is>
      </c>
      <c r="F36" t="inlineStr">
        <is>
          <t>IMC</t>
        </is>
      </c>
      <c r="G36" t="inlineStr">
        <is>
          <t>techo 800 ft</t>
        </is>
      </c>
      <c r="H36" t="inlineStr">
        <is>
          <t>SADM 040500Z 14006KT 9999 OVC008 14/13 Q1017</t>
        </is>
      </c>
    </row>
    <row r="37">
      <c r="A37" t="inlineStr">
        <is>
          <t>4</t>
        </is>
      </c>
      <c r="B37" t="inlineStr">
        <is>
          <t>2026-08-04</t>
        </is>
      </c>
      <c r="C37" t="inlineStr">
        <is>
          <t>06 a 07</t>
        </is>
      </c>
      <c r="D37" t="n">
        <v>0</v>
      </c>
      <c r="E37" t="inlineStr">
        <is>
          <t>-</t>
        </is>
      </c>
      <c r="F37" t="inlineStr">
        <is>
          <t>IMC</t>
        </is>
      </c>
      <c r="G37" t="inlineStr">
        <is>
          <t>techo 500 ft</t>
        </is>
      </c>
      <c r="H37" t="inlineStr">
        <is>
          <t>SADM 040600Z 14006KT 9999 OVC005 14/13 Q1017</t>
        </is>
      </c>
    </row>
    <row r="38">
      <c r="A38" t="inlineStr">
        <is>
          <t>4</t>
        </is>
      </c>
      <c r="B38" t="inlineStr">
        <is>
          <t>2026-08-04</t>
        </is>
      </c>
      <c r="C38" t="inlineStr">
        <is>
          <t>07 a 08</t>
        </is>
      </c>
      <c r="D38" t="n">
        <v>0</v>
      </c>
      <c r="E38" t="inlineStr">
        <is>
          <t>-</t>
        </is>
      </c>
      <c r="F38" t="inlineStr">
        <is>
          <t>IMC</t>
        </is>
      </c>
      <c r="G38" t="inlineStr">
        <is>
          <t>techo 500 ft</t>
        </is>
      </c>
      <c r="H38" t="inlineStr">
        <is>
          <t>SADM 040700Z 16007KT 9999 OVC005 13/13 Q1016</t>
        </is>
      </c>
    </row>
    <row r="39">
      <c r="A39" t="inlineStr">
        <is>
          <t>4</t>
        </is>
      </c>
      <c r="B39" t="inlineStr">
        <is>
          <t>2026-08-04</t>
        </is>
      </c>
      <c r="C39" t="inlineStr">
        <is>
          <t>08 a 09</t>
        </is>
      </c>
      <c r="D39" t="n">
        <v>0</v>
      </c>
      <c r="E39" t="inlineStr">
        <is>
          <t>-</t>
        </is>
      </c>
      <c r="F39" t="inlineStr">
        <is>
          <t>IMC</t>
        </is>
      </c>
      <c r="G39" t="inlineStr">
        <is>
          <t>techo 500 ft</t>
        </is>
      </c>
      <c r="H39" t="inlineStr">
        <is>
          <t>SADM 040800Z 18006KT 9999 OVC005 13/13 Q1016</t>
        </is>
      </c>
    </row>
    <row r="40">
      <c r="A40" t="inlineStr">
        <is>
          <t>4</t>
        </is>
      </c>
      <c r="B40" t="inlineStr">
        <is>
          <t>2026-08-04</t>
        </is>
      </c>
      <c r="C40" t="inlineStr">
        <is>
          <t>09 a 10</t>
        </is>
      </c>
      <c r="D40" t="n">
        <v>0</v>
      </c>
      <c r="E40" t="inlineStr">
        <is>
          <t>-</t>
        </is>
      </c>
      <c r="F40" t="inlineStr">
        <is>
          <t>IMC</t>
        </is>
      </c>
      <c r="G40" t="inlineStr">
        <is>
          <t>techo 400 ft</t>
        </is>
      </c>
      <c r="H40" t="inlineStr">
        <is>
          <t>SADM 040900Z 18006KT 9999 OVC004 13/12 Q1017</t>
        </is>
      </c>
    </row>
    <row r="41">
      <c r="A41" t="inlineStr">
        <is>
          <t>4</t>
        </is>
      </c>
      <c r="B41" t="inlineStr">
        <is>
          <t>2026-08-04</t>
        </is>
      </c>
      <c r="C41" t="inlineStr">
        <is>
          <t>10 a 11</t>
        </is>
      </c>
      <c r="D41" t="n">
        <v>0</v>
      </c>
      <c r="E41" t="inlineStr">
        <is>
          <t>-</t>
        </is>
      </c>
      <c r="F41" t="inlineStr">
        <is>
          <t>IMC</t>
        </is>
      </c>
      <c r="G41" t="inlineStr">
        <is>
          <t>techo 500 ft</t>
        </is>
      </c>
      <c r="H41" t="inlineStr">
        <is>
          <t>SADM 041000Z 16006KT 9999 OVC005 13/12 Q1017</t>
        </is>
      </c>
    </row>
    <row r="42">
      <c r="A42" t="inlineStr">
        <is>
          <t>4</t>
        </is>
      </c>
      <c r="B42" t="inlineStr">
        <is>
          <t>2026-08-04</t>
        </is>
      </c>
      <c r="C42" t="inlineStr">
        <is>
          <t>21 a 22</t>
        </is>
      </c>
      <c r="D42" t="n">
        <v>0</v>
      </c>
      <c r="E42" t="inlineStr">
        <is>
          <t>-</t>
        </is>
      </c>
      <c r="F42" t="inlineStr">
        <is>
          <t>IMC</t>
        </is>
      </c>
      <c r="G42" t="inlineStr">
        <is>
          <t>techo 900 ft</t>
        </is>
      </c>
      <c r="H42" t="inlineStr">
        <is>
          <t>SADM 042100Z 09005KT 6000 OVC009 15/12 Q1016</t>
        </is>
      </c>
    </row>
    <row r="43">
      <c r="A43" t="inlineStr">
        <is>
          <t>4</t>
        </is>
      </c>
      <c r="B43" t="inlineStr">
        <is>
          <t>2026-08-04</t>
        </is>
      </c>
      <c r="C43" t="inlineStr">
        <is>
          <t>22 a 23</t>
        </is>
      </c>
      <c r="D43" t="n">
        <v>0</v>
      </c>
      <c r="E43" t="inlineStr">
        <is>
          <t>-</t>
        </is>
      </c>
      <c r="F43" t="inlineStr">
        <is>
          <t>IMC</t>
        </is>
      </c>
      <c r="G43" t="inlineStr">
        <is>
          <t>techo 600 ft</t>
        </is>
      </c>
      <c r="H43" t="inlineStr">
        <is>
          <t>SADM 042200Z 09005KT 8000 OVC006 14/13 Q1016</t>
        </is>
      </c>
    </row>
    <row r="44">
      <c r="A44" t="inlineStr">
        <is>
          <t>5</t>
        </is>
      </c>
      <c r="B44" t="inlineStr">
        <is>
          <t>2026-08-05</t>
        </is>
      </c>
      <c r="C44" t="inlineStr">
        <is>
          <t>01 a 02</t>
        </is>
      </c>
      <c r="D44" t="n">
        <v>0</v>
      </c>
      <c r="E44" t="inlineStr">
        <is>
          <t>-</t>
        </is>
      </c>
      <c r="F44" t="inlineStr">
        <is>
          <t>IMC</t>
        </is>
      </c>
      <c r="G44" t="inlineStr">
        <is>
          <t>techo 800 ft</t>
        </is>
      </c>
      <c r="H44" t="inlineStr">
        <is>
          <t>SADM 050100Z 09005KT 8000 BKN008 OVC023 14/12 Q1015</t>
        </is>
      </c>
    </row>
    <row r="45">
      <c r="A45" t="inlineStr">
        <is>
          <t>5</t>
        </is>
      </c>
      <c r="B45" t="inlineStr">
        <is>
          <t>2026-08-05</t>
        </is>
      </c>
      <c r="C45" t="inlineStr">
        <is>
          <t>02 a 03</t>
        </is>
      </c>
      <c r="D45" t="n">
        <v>0</v>
      </c>
      <c r="E45" t="inlineStr">
        <is>
          <t>-</t>
        </is>
      </c>
      <c r="F45" t="inlineStr">
        <is>
          <t>IMC</t>
        </is>
      </c>
      <c r="G45" t="inlineStr">
        <is>
          <t>techo 800 ft</t>
        </is>
      </c>
      <c r="H45" t="inlineStr">
        <is>
          <t>SADM 050200Z 09004KT 8000 BKN008 OVC019 15/12 Q1015</t>
        </is>
      </c>
    </row>
    <row r="46">
      <c r="A46" t="inlineStr">
        <is>
          <t>5</t>
        </is>
      </c>
      <c r="B46" t="inlineStr">
        <is>
          <t>2026-08-05</t>
        </is>
      </c>
      <c r="C46" t="inlineStr">
        <is>
          <t>06 a 07</t>
        </is>
      </c>
      <c r="D46" t="n">
        <v>0</v>
      </c>
      <c r="E46" t="inlineStr">
        <is>
          <t>-</t>
        </is>
      </c>
      <c r="F46" t="inlineStr">
        <is>
          <t>IMC</t>
        </is>
      </c>
      <c r="G46" t="inlineStr">
        <is>
          <t>vis 3500 m + techo 800 ft</t>
        </is>
      </c>
      <c r="H46" t="inlineStr">
        <is>
          <t>SADM 050600Z 05004KT 3500 -DZ BR BKN008 OVC018 14/14 Q1014</t>
        </is>
      </c>
    </row>
    <row r="47">
      <c r="A47" t="inlineStr">
        <is>
          <t>5</t>
        </is>
      </c>
      <c r="B47" t="inlineStr">
        <is>
          <t>2026-08-05</t>
        </is>
      </c>
      <c r="C47" t="inlineStr">
        <is>
          <t>07 a 08</t>
        </is>
      </c>
      <c r="D47" t="n">
        <v>0</v>
      </c>
      <c r="E47" t="inlineStr">
        <is>
          <t>-</t>
        </is>
      </c>
      <c r="F47" t="inlineStr">
        <is>
          <t>IMC</t>
        </is>
      </c>
      <c r="G47" t="inlineStr">
        <is>
          <t>vis 3500 m + techo 300 ft</t>
        </is>
      </c>
      <c r="H47" t="inlineStr">
        <is>
          <t>SADM 050700Z 12002KT 3500 -DZ BR OVC003 14/14 Q1013</t>
        </is>
      </c>
    </row>
    <row r="48">
      <c r="A48" t="inlineStr">
        <is>
          <t>5</t>
        </is>
      </c>
      <c r="B48" t="inlineStr">
        <is>
          <t>2026-08-05</t>
        </is>
      </c>
      <c r="C48" t="inlineStr">
        <is>
          <t>08 a 09</t>
        </is>
      </c>
      <c r="D48" t="n">
        <v>0</v>
      </c>
      <c r="E48" t="inlineStr">
        <is>
          <t>-</t>
        </is>
      </c>
      <c r="F48" t="inlineStr">
        <is>
          <t>IMC</t>
        </is>
      </c>
      <c r="G48" t="inlineStr">
        <is>
          <t>vis 1000 m + techo 300 ft</t>
        </is>
      </c>
      <c r="H48" t="inlineStr">
        <is>
          <t>SADM 050800Z 18002KT 1000 BR OVC003 14/14 Q1013</t>
        </is>
      </c>
    </row>
    <row r="49">
      <c r="A49" t="inlineStr">
        <is>
          <t>5</t>
        </is>
      </c>
      <c r="B49" t="inlineStr">
        <is>
          <t>2026-08-05</t>
        </is>
      </c>
      <c r="C49" t="inlineStr">
        <is>
          <t>09 a 10</t>
        </is>
      </c>
      <c r="D49" t="n">
        <v>0</v>
      </c>
      <c r="E49" t="inlineStr">
        <is>
          <t>-</t>
        </is>
      </c>
      <c r="F49" t="inlineStr">
        <is>
          <t>IMC</t>
        </is>
      </c>
      <c r="G49" t="inlineStr">
        <is>
          <t>vis 1000 m + techo 300 ft</t>
        </is>
      </c>
      <c r="H49" t="inlineStr">
        <is>
          <t>SADM 050900Z 16004KT 1000 BR OVC003 14/14 Q1013</t>
        </is>
      </c>
    </row>
    <row r="50">
      <c r="A50" t="inlineStr">
        <is>
          <t>5</t>
        </is>
      </c>
      <c r="B50" t="inlineStr">
        <is>
          <t>2026-08-05</t>
        </is>
      </c>
      <c r="C50" t="inlineStr">
        <is>
          <t>10 a 11</t>
        </is>
      </c>
      <c r="D50" t="n">
        <v>0</v>
      </c>
      <c r="E50" t="inlineStr">
        <is>
          <t>-</t>
        </is>
      </c>
      <c r="F50" t="inlineStr">
        <is>
          <t>IMC</t>
        </is>
      </c>
      <c r="G50" t="inlineStr">
        <is>
          <t>vis 1000 m + techo 300 ft</t>
        </is>
      </c>
      <c r="H50" t="inlineStr">
        <is>
          <t>SADM 051000Z 18004KT 1000 -DZ BR OVC003 14/13 Q1013</t>
        </is>
      </c>
    </row>
    <row r="51">
      <c r="A51" t="inlineStr">
        <is>
          <t>5</t>
        </is>
      </c>
      <c r="B51" t="inlineStr">
        <is>
          <t>2026-08-05</t>
        </is>
      </c>
      <c r="C51" t="inlineStr">
        <is>
          <t>11 a 12</t>
        </is>
      </c>
      <c r="D51" t="n">
        <v>0</v>
      </c>
      <c r="E51" t="inlineStr">
        <is>
          <t>-</t>
        </is>
      </c>
      <c r="F51" t="inlineStr">
        <is>
          <t>IMC</t>
        </is>
      </c>
      <c r="G51" t="inlineStr">
        <is>
          <t>vis 2000 m + techo 400 ft</t>
        </is>
      </c>
      <c r="H51" t="inlineStr">
        <is>
          <t>SADM 051100Z 18010KT 2000 -DZ BR OVC004 13/13 Q1013</t>
        </is>
      </c>
    </row>
    <row r="52">
      <c r="A52" t="inlineStr">
        <is>
          <t>5</t>
        </is>
      </c>
      <c r="B52" t="inlineStr">
        <is>
          <t>2026-08-05</t>
        </is>
      </c>
      <c r="C52" t="inlineStr">
        <is>
          <t>12 a 13</t>
        </is>
      </c>
      <c r="D52" t="n">
        <v>0</v>
      </c>
      <c r="E52" t="inlineStr">
        <is>
          <t>-</t>
        </is>
      </c>
      <c r="F52" t="inlineStr">
        <is>
          <t>IMC</t>
        </is>
      </c>
      <c r="G52" t="inlineStr">
        <is>
          <t>vis 2000 m + techo 300 ft</t>
        </is>
      </c>
      <c r="H52" t="inlineStr">
        <is>
          <t>SADM 051200Z 16009KT 2000 -DZ BR OVC003 13/13 Q1013</t>
        </is>
      </c>
    </row>
    <row r="53">
      <c r="A53" t="inlineStr">
        <is>
          <t>5</t>
        </is>
      </c>
      <c r="B53" t="inlineStr">
        <is>
          <t>2026-08-05</t>
        </is>
      </c>
      <c r="C53" t="inlineStr">
        <is>
          <t>13 a 14</t>
        </is>
      </c>
      <c r="D53" t="n">
        <v>0</v>
      </c>
      <c r="E53" t="inlineStr">
        <is>
          <t>-</t>
        </is>
      </c>
      <c r="F53" t="inlineStr">
        <is>
          <t>IMC</t>
        </is>
      </c>
      <c r="G53" t="inlineStr">
        <is>
          <t>techo 500 ft</t>
        </is>
      </c>
      <c r="H53" t="inlineStr">
        <is>
          <t>SADM 051300Z 16008KT 9999 OVC005 14/13 Q1014</t>
        </is>
      </c>
    </row>
    <row r="54">
      <c r="A54" t="inlineStr">
        <is>
          <t>5</t>
        </is>
      </c>
      <c r="B54" t="inlineStr">
        <is>
          <t>2026-08-05</t>
        </is>
      </c>
      <c r="C54" t="inlineStr">
        <is>
          <t>14 a 15</t>
        </is>
      </c>
      <c r="D54" t="n">
        <v>0</v>
      </c>
      <c r="E54" t="inlineStr">
        <is>
          <t>-</t>
        </is>
      </c>
      <c r="F54" t="inlineStr">
        <is>
          <t>IMC</t>
        </is>
      </c>
      <c r="G54" t="inlineStr">
        <is>
          <t>techo 400 ft</t>
        </is>
      </c>
      <c r="H54" t="inlineStr">
        <is>
          <t>SADM 051400Z 16006KT 9999 OVC004 14/12 Q1014</t>
        </is>
      </c>
    </row>
    <row r="55">
      <c r="A55" t="inlineStr">
        <is>
          <t>5</t>
        </is>
      </c>
      <c r="B55" t="inlineStr">
        <is>
          <t>2026-08-05</t>
        </is>
      </c>
      <c r="C55" t="inlineStr">
        <is>
          <t>15 a 16</t>
        </is>
      </c>
      <c r="D55" t="n">
        <v>0</v>
      </c>
      <c r="E55" t="inlineStr">
        <is>
          <t>-</t>
        </is>
      </c>
      <c r="F55" t="inlineStr">
        <is>
          <t>IMC</t>
        </is>
      </c>
      <c r="G55" t="inlineStr">
        <is>
          <t>techo 700 ft</t>
        </is>
      </c>
      <c r="H55" t="inlineStr">
        <is>
          <t>SADM 051500Z 14008KT 9999 OVC007 14/13 Q1013</t>
        </is>
      </c>
    </row>
    <row r="56">
      <c r="A56" t="inlineStr">
        <is>
          <t>5</t>
        </is>
      </c>
      <c r="B56" t="inlineStr">
        <is>
          <t>2026-08-05</t>
        </is>
      </c>
      <c r="C56" t="inlineStr">
        <is>
          <t>22 a 23</t>
        </is>
      </c>
      <c r="D56" t="n">
        <v>0</v>
      </c>
      <c r="E56" t="inlineStr">
        <is>
          <t>-</t>
        </is>
      </c>
      <c r="F56" t="inlineStr">
        <is>
          <t>IMC</t>
        </is>
      </c>
      <c r="G56" t="inlineStr">
        <is>
          <t>techo 1200 ft</t>
        </is>
      </c>
      <c r="H56" t="inlineStr">
        <is>
          <t>SADM 052200Z 14004KT 9999 OVC012 15/13 Q1009</t>
        </is>
      </c>
    </row>
    <row r="57">
      <c r="A57" t="inlineStr">
        <is>
          <t>5</t>
        </is>
      </c>
      <c r="B57" t="inlineStr">
        <is>
          <t>2026-08-05</t>
        </is>
      </c>
      <c r="C57" t="inlineStr">
        <is>
          <t>23 a 00</t>
        </is>
      </c>
      <c r="D57" t="n">
        <v>0</v>
      </c>
      <c r="E57" t="inlineStr">
        <is>
          <t>-</t>
        </is>
      </c>
      <c r="F57" t="inlineStr">
        <is>
          <t>IMC</t>
        </is>
      </c>
      <c r="G57" t="inlineStr">
        <is>
          <t>techo 1400 ft</t>
        </is>
      </c>
      <c r="H57" t="inlineStr">
        <is>
          <t>SADM 052300Z 14003KT 9999 OVC014 15/13 Q1010</t>
        </is>
      </c>
    </row>
    <row r="58">
      <c r="A58" t="inlineStr">
        <is>
          <t>6</t>
        </is>
      </c>
      <c r="B58" t="inlineStr">
        <is>
          <t>2026-08-06</t>
        </is>
      </c>
      <c r="C58" t="inlineStr">
        <is>
          <t>00 a 01</t>
        </is>
      </c>
      <c r="D58" t="n">
        <v>0</v>
      </c>
      <c r="E58" t="inlineStr">
        <is>
          <t>-</t>
        </is>
      </c>
      <c r="F58" t="inlineStr">
        <is>
          <t>IMC</t>
        </is>
      </c>
      <c r="G58" t="inlineStr">
        <is>
          <t>techo 1400 ft</t>
        </is>
      </c>
      <c r="H58" t="inlineStr">
        <is>
          <t>SADM 060000Z 14002KT 9999 OVC014 15/13 Q1009</t>
        </is>
      </c>
    </row>
    <row r="59">
      <c r="A59" t="inlineStr">
        <is>
          <t>6</t>
        </is>
      </c>
      <c r="B59" t="inlineStr">
        <is>
          <t>2026-08-06</t>
        </is>
      </c>
      <c r="C59" t="inlineStr">
        <is>
          <t>02 a 03</t>
        </is>
      </c>
      <c r="D59" t="n">
        <v>0</v>
      </c>
      <c r="E59" t="inlineStr">
        <is>
          <t>-</t>
        </is>
      </c>
      <c r="F59" t="inlineStr">
        <is>
          <t>IMC</t>
        </is>
      </c>
      <c r="G59" t="inlineStr">
        <is>
          <t>techo 1400 ft</t>
        </is>
      </c>
      <c r="H59" t="inlineStr">
        <is>
          <t>SADM 060200Z 09006KT 9999 OVC014 15/13 Q1008</t>
        </is>
      </c>
    </row>
    <row r="60">
      <c r="A60" t="inlineStr">
        <is>
          <t>6</t>
        </is>
      </c>
      <c r="B60" t="inlineStr">
        <is>
          <t>2026-08-06</t>
        </is>
      </c>
      <c r="C60" t="inlineStr">
        <is>
          <t>03 a 04</t>
        </is>
      </c>
      <c r="D60" t="n">
        <v>0</v>
      </c>
      <c r="E60" t="inlineStr">
        <is>
          <t>-</t>
        </is>
      </c>
      <c r="F60" t="inlineStr">
        <is>
          <t>IMC</t>
        </is>
      </c>
      <c r="G60" t="inlineStr">
        <is>
          <t>techo 1400 ft</t>
        </is>
      </c>
      <c r="H60" t="inlineStr">
        <is>
          <t>SADM 060300Z 05004KT 9999 OVC014 15/13 Q1008</t>
        </is>
      </c>
    </row>
    <row r="61">
      <c r="A61" t="inlineStr">
        <is>
          <t>6</t>
        </is>
      </c>
      <c r="B61" t="inlineStr">
        <is>
          <t>2026-08-06</t>
        </is>
      </c>
      <c r="C61" t="inlineStr">
        <is>
          <t>04 a 05</t>
        </is>
      </c>
      <c r="D61" t="n">
        <v>0</v>
      </c>
      <c r="E61" t="inlineStr">
        <is>
          <t>-</t>
        </is>
      </c>
      <c r="F61" t="inlineStr">
        <is>
          <t>IMC</t>
        </is>
      </c>
      <c r="G61" t="inlineStr">
        <is>
          <t>techo 1300 ft</t>
        </is>
      </c>
      <c r="H61" t="inlineStr">
        <is>
          <t>SADM 060400Z 05002KT 9999 OVC013 15/13 Q1008</t>
        </is>
      </c>
    </row>
    <row r="62">
      <c r="A62" t="inlineStr">
        <is>
          <t>6</t>
        </is>
      </c>
      <c r="B62" t="inlineStr">
        <is>
          <t>2026-08-06</t>
        </is>
      </c>
      <c r="C62" t="inlineStr">
        <is>
          <t>05 a 06</t>
        </is>
      </c>
      <c r="D62" t="n">
        <v>0</v>
      </c>
      <c r="E62" t="inlineStr">
        <is>
          <t>-</t>
        </is>
      </c>
      <c r="F62" t="inlineStr">
        <is>
          <t>IMC</t>
        </is>
      </c>
      <c r="G62" t="inlineStr">
        <is>
          <t>techo 1200 ft</t>
        </is>
      </c>
      <c r="H62" t="inlineStr">
        <is>
          <t>SADM 060500Z 07002KT 9999 OVC012 15/12 Q1007</t>
        </is>
      </c>
    </row>
    <row r="63">
      <c r="A63" t="inlineStr">
        <is>
          <t>6</t>
        </is>
      </c>
      <c r="B63" t="inlineStr">
        <is>
          <t>2026-08-06</t>
        </is>
      </c>
      <c r="C63" t="inlineStr">
        <is>
          <t>06 a 07</t>
        </is>
      </c>
      <c r="D63" t="n">
        <v>0</v>
      </c>
      <c r="E63" t="inlineStr">
        <is>
          <t>-</t>
        </is>
      </c>
      <c r="F63" t="inlineStr">
        <is>
          <t>IMC</t>
        </is>
      </c>
      <c r="G63" t="inlineStr">
        <is>
          <t>techo 900 ft</t>
        </is>
      </c>
      <c r="H63" t="inlineStr">
        <is>
          <t>SADM 060600Z 05005KT 9999 OVC009 14/13 Q1006</t>
        </is>
      </c>
    </row>
    <row r="64">
      <c r="A64" t="inlineStr">
        <is>
          <t>6</t>
        </is>
      </c>
      <c r="B64" t="inlineStr">
        <is>
          <t>2026-08-06</t>
        </is>
      </c>
      <c r="C64" t="inlineStr">
        <is>
          <t>07 a 08</t>
        </is>
      </c>
      <c r="D64" t="n">
        <v>0</v>
      </c>
      <c r="E64" t="inlineStr">
        <is>
          <t>-</t>
        </is>
      </c>
      <c r="F64" t="inlineStr">
        <is>
          <t>IMC</t>
        </is>
      </c>
      <c r="G64" t="inlineStr">
        <is>
          <t>techo 1400 ft</t>
        </is>
      </c>
      <c r="H64" t="inlineStr">
        <is>
          <t>SADM 060700Z 07003KT 9999 OVC014 14/13 Q1005</t>
        </is>
      </c>
    </row>
    <row r="65">
      <c r="A65" t="inlineStr">
        <is>
          <t>6</t>
        </is>
      </c>
      <c r="B65" t="inlineStr">
        <is>
          <t>2026-08-06</t>
        </is>
      </c>
      <c r="C65" t="inlineStr">
        <is>
          <t>08 a 09</t>
        </is>
      </c>
      <c r="D65" t="n">
        <v>0</v>
      </c>
      <c r="E65" t="inlineStr">
        <is>
          <t>-</t>
        </is>
      </c>
      <c r="F65" t="inlineStr">
        <is>
          <t>IMC</t>
        </is>
      </c>
      <c r="G65" t="inlineStr">
        <is>
          <t>techo 1100 ft</t>
        </is>
      </c>
      <c r="H65" t="inlineStr">
        <is>
          <t>SADM 060800Z 07004KT 9999 OVC011 14/12 Q1005</t>
        </is>
      </c>
    </row>
    <row r="66">
      <c r="A66" t="inlineStr">
        <is>
          <t>6</t>
        </is>
      </c>
      <c r="B66" t="inlineStr">
        <is>
          <t>2026-08-06</t>
        </is>
      </c>
      <c r="C66" t="inlineStr">
        <is>
          <t>09 a 10</t>
        </is>
      </c>
      <c r="D66" t="n">
        <v>0</v>
      </c>
      <c r="E66" t="inlineStr">
        <is>
          <t>-</t>
        </is>
      </c>
      <c r="F66" t="inlineStr">
        <is>
          <t>IMC</t>
        </is>
      </c>
      <c r="G66" t="inlineStr">
        <is>
          <t>techo 400 ft</t>
        </is>
      </c>
      <c r="H66" t="inlineStr">
        <is>
          <t>SADM 060900Z 09004KT 9999 OVC005 14/13 Q1004</t>
        </is>
      </c>
    </row>
    <row r="67">
      <c r="A67" t="inlineStr">
        <is>
          <t>6</t>
        </is>
      </c>
      <c r="B67" t="inlineStr">
        <is>
          <t>2026-08-06</t>
        </is>
      </c>
      <c r="C67" t="inlineStr">
        <is>
          <t>10 a 11</t>
        </is>
      </c>
      <c r="D67" t="n">
        <v>0</v>
      </c>
      <c r="E67" t="inlineStr">
        <is>
          <t>-</t>
        </is>
      </c>
      <c r="F67" t="inlineStr">
        <is>
          <t>IMC</t>
        </is>
      </c>
      <c r="G67" t="inlineStr">
        <is>
          <t>vis 3000 m + techo 400 ft</t>
        </is>
      </c>
      <c r="H67" t="inlineStr">
        <is>
          <t>SADM 061000Z 14004KT 3000 -TSRA BKN004 FEW050CB 14/13 Q1004</t>
        </is>
      </c>
    </row>
    <row r="68">
      <c r="A68" t="inlineStr">
        <is>
          <t>6</t>
        </is>
      </c>
      <c r="B68" t="inlineStr">
        <is>
          <t>2026-08-06</t>
        </is>
      </c>
      <c r="C68" t="inlineStr">
        <is>
          <t>16 a 17</t>
        </is>
      </c>
      <c r="D68" t="n">
        <v>0</v>
      </c>
      <c r="E68" t="inlineStr">
        <is>
          <t>IMC</t>
        </is>
      </c>
      <c r="F68" t="inlineStr">
        <is>
          <t>VMC</t>
        </is>
      </c>
      <c r="G68" t="inlineStr"/>
      <c r="H68" t="inlineStr">
        <is>
          <t>SADM 061600Z 18011KT 9999 SCT008 BKN021 OVC100 13/11 Q1002</t>
        </is>
      </c>
    </row>
    <row r="69">
      <c r="A69" t="inlineStr">
        <is>
          <t>6</t>
        </is>
      </c>
      <c r="B69" t="inlineStr">
        <is>
          <t>2026-08-06</t>
        </is>
      </c>
      <c r="C69" t="inlineStr">
        <is>
          <t>22 a 23</t>
        </is>
      </c>
      <c r="D69" t="n">
        <v>0</v>
      </c>
      <c r="E69" t="inlineStr">
        <is>
          <t>-</t>
        </is>
      </c>
      <c r="F69" t="inlineStr">
        <is>
          <t>IMC</t>
        </is>
      </c>
      <c r="G69" t="inlineStr">
        <is>
          <t>techo 500 ft</t>
        </is>
      </c>
      <c r="H69" t="inlineStr">
        <is>
          <t>SADM 062200Z 20021KT 8000 -RA BKN005 OVC050 13/12 Q1008</t>
        </is>
      </c>
    </row>
    <row r="70">
      <c r="A70" t="inlineStr">
        <is>
          <t>10</t>
        </is>
      </c>
      <c r="B70" t="inlineStr">
        <is>
          <t>2026-08-10</t>
        </is>
      </c>
      <c r="C70" t="inlineStr">
        <is>
          <t>11 a 12</t>
        </is>
      </c>
      <c r="D70" t="n">
        <v>0</v>
      </c>
      <c r="E70" t="inlineStr">
        <is>
          <t>-</t>
        </is>
      </c>
      <c r="F70" t="inlineStr">
        <is>
          <t>IMC</t>
        </is>
      </c>
      <c r="G70" t="inlineStr">
        <is>
          <t>vis 3000 m</t>
        </is>
      </c>
      <c r="H70" t="inlineStr">
        <is>
          <t>SADM 101100Z 18002KT 3000 BR NSC 01/M00 Q1035</t>
        </is>
      </c>
    </row>
    <row r="71">
      <c r="A71" t="inlineStr">
        <is>
          <t>13</t>
        </is>
      </c>
      <c r="B71" t="inlineStr">
        <is>
          <t>2026-08-13</t>
        </is>
      </c>
      <c r="C71" t="inlineStr">
        <is>
          <t>22 a 23</t>
        </is>
      </c>
      <c r="D71" t="n">
        <v>0</v>
      </c>
      <c r="E71" t="inlineStr">
        <is>
          <t>-</t>
        </is>
      </c>
      <c r="F71" t="inlineStr">
        <is>
          <t>IMC</t>
        </is>
      </c>
      <c r="G71" t="inlineStr">
        <is>
          <t>vis 3000 m</t>
        </is>
      </c>
      <c r="H71" t="inlineStr">
        <is>
          <t>SADM 132200Z 14005KT 3000 -RA BR SCT037 OVC050 10/07 Q1026</t>
        </is>
      </c>
    </row>
    <row r="72">
      <c r="A72" t="inlineStr">
        <is>
          <t>14</t>
        </is>
      </c>
      <c r="B72" t="inlineStr">
        <is>
          <t>2026-08-14</t>
        </is>
      </c>
      <c r="C72" t="inlineStr">
        <is>
          <t>07 a 08</t>
        </is>
      </c>
      <c r="D72" t="n">
        <v>0</v>
      </c>
      <c r="E72" t="inlineStr">
        <is>
          <t>-</t>
        </is>
      </c>
      <c r="F72" t="inlineStr">
        <is>
          <t>IMC</t>
        </is>
      </c>
      <c r="G72" t="inlineStr">
        <is>
          <t>vis 4000 m + techo 1000 ft</t>
        </is>
      </c>
      <c r="H72" t="inlineStr">
        <is>
          <t>SADM 140700Z 09002KT 4000 -DZ BR BKN010 OVC100 10/08 Q1025</t>
        </is>
      </c>
    </row>
    <row r="73">
      <c r="A73" t="inlineStr">
        <is>
          <t>14</t>
        </is>
      </c>
      <c r="B73" t="inlineStr">
        <is>
          <t>2026-08-14</t>
        </is>
      </c>
      <c r="C73" t="inlineStr">
        <is>
          <t>08 a 09</t>
        </is>
      </c>
      <c r="D73" t="n">
        <v>0</v>
      </c>
      <c r="E73" t="inlineStr">
        <is>
          <t>-</t>
        </is>
      </c>
      <c r="F73" t="inlineStr">
        <is>
          <t>IMC</t>
        </is>
      </c>
      <c r="G73" t="inlineStr">
        <is>
          <t>vis 2500 m + techo 1000 ft</t>
        </is>
      </c>
      <c r="H73" t="inlineStr">
        <is>
          <t>SADM 140800Z 05004KT 2500 -DZ BR BKN010 OVC100 10/08 Q1025</t>
        </is>
      </c>
    </row>
    <row r="74">
      <c r="A74" t="inlineStr">
        <is>
          <t>14</t>
        </is>
      </c>
      <c r="B74" t="inlineStr">
        <is>
          <t>2026-08-14</t>
        </is>
      </c>
      <c r="C74" t="inlineStr">
        <is>
          <t>09 a 10</t>
        </is>
      </c>
      <c r="D74" t="n">
        <v>0</v>
      </c>
      <c r="E74" t="inlineStr">
        <is>
          <t>-</t>
        </is>
      </c>
      <c r="F74" t="inlineStr">
        <is>
          <t>IMC</t>
        </is>
      </c>
      <c r="G74" t="inlineStr">
        <is>
          <t>vis 4000 m + techo 1000 ft</t>
        </is>
      </c>
      <c r="H74" t="inlineStr">
        <is>
          <t>SADM 140900Z 09004KT 4000 BR BKN010 OVC020 10/09 Q1025</t>
        </is>
      </c>
    </row>
    <row r="75">
      <c r="A75" t="inlineStr">
        <is>
          <t>14</t>
        </is>
      </c>
      <c r="B75" t="inlineStr">
        <is>
          <t>2026-08-14</t>
        </is>
      </c>
      <c r="C75" t="inlineStr">
        <is>
          <t>10 a 11</t>
        </is>
      </c>
      <c r="D75" t="n">
        <v>0</v>
      </c>
      <c r="E75" t="inlineStr">
        <is>
          <t>-</t>
        </is>
      </c>
      <c r="F75" t="inlineStr">
        <is>
          <t>IMC</t>
        </is>
      </c>
      <c r="G75" t="inlineStr">
        <is>
          <t>vis 4000 m + techo 1000 ft</t>
        </is>
      </c>
      <c r="H75" t="inlineStr">
        <is>
          <t>SADM 141000Z 07004KT 4000 BR BKN010 OVC028 11/08 Q1025</t>
        </is>
      </c>
    </row>
    <row r="76">
      <c r="A76" t="inlineStr">
        <is>
          <t>14</t>
        </is>
      </c>
      <c r="B76" t="inlineStr">
        <is>
          <t>2026-08-14</t>
        </is>
      </c>
      <c r="C76" t="inlineStr">
        <is>
          <t>22 a 23</t>
        </is>
      </c>
      <c r="D76" t="n">
        <v>0</v>
      </c>
      <c r="E76" t="inlineStr">
        <is>
          <t>-</t>
        </is>
      </c>
      <c r="F76" t="inlineStr">
        <is>
          <t>IMC</t>
        </is>
      </c>
      <c r="G76" t="inlineStr">
        <is>
          <t>vis 4000 m + techo 600 ft</t>
        </is>
      </c>
      <c r="H76" t="inlineStr">
        <is>
          <t>SADM 142200Z 09006KT 4000 BR OVC006 12/12 Q1021</t>
        </is>
      </c>
    </row>
    <row r="77">
      <c r="A77" t="inlineStr">
        <is>
          <t>15</t>
        </is>
      </c>
      <c r="B77" t="inlineStr">
        <is>
          <t>2026-08-15</t>
        </is>
      </c>
      <c r="C77" t="inlineStr">
        <is>
          <t>07 a 08</t>
        </is>
      </c>
      <c r="D77" t="n">
        <v>0</v>
      </c>
      <c r="E77" t="inlineStr">
        <is>
          <t>-</t>
        </is>
      </c>
      <c r="F77" t="inlineStr">
        <is>
          <t>IMC</t>
        </is>
      </c>
      <c r="G77" t="inlineStr">
        <is>
          <t>techo 1400 ft</t>
        </is>
      </c>
      <c r="H77" t="inlineStr">
        <is>
          <t>SADM 150700Z 07009KT 9999 OVC014 14/11 Q1019</t>
        </is>
      </c>
    </row>
    <row r="78">
      <c r="A78" t="inlineStr">
        <is>
          <t>15</t>
        </is>
      </c>
      <c r="B78" t="inlineStr">
        <is>
          <t>2026-08-15</t>
        </is>
      </c>
      <c r="C78" t="inlineStr">
        <is>
          <t>08 a 09</t>
        </is>
      </c>
      <c r="D78" t="n">
        <v>0</v>
      </c>
      <c r="E78" t="inlineStr">
        <is>
          <t>-</t>
        </is>
      </c>
      <c r="F78" t="inlineStr">
        <is>
          <t>IMC</t>
        </is>
      </c>
      <c r="G78" t="inlineStr">
        <is>
          <t>techo 1000 ft</t>
        </is>
      </c>
      <c r="H78" t="inlineStr">
        <is>
          <t>SADM 150800Z 05008KT 9999 OVC010 14/11 Q1019</t>
        </is>
      </c>
    </row>
    <row r="79">
      <c r="A79" t="inlineStr">
        <is>
          <t>15</t>
        </is>
      </c>
      <c r="B79" t="inlineStr">
        <is>
          <t>2026-08-15</t>
        </is>
      </c>
      <c r="C79" t="inlineStr">
        <is>
          <t>09 a 10</t>
        </is>
      </c>
      <c r="D79" t="n">
        <v>0</v>
      </c>
      <c r="E79" t="inlineStr">
        <is>
          <t>-</t>
        </is>
      </c>
      <c r="F79" t="inlineStr">
        <is>
          <t>IMC</t>
        </is>
      </c>
      <c r="G79" t="inlineStr">
        <is>
          <t>techo 1000 ft</t>
        </is>
      </c>
      <c r="H79" t="inlineStr">
        <is>
          <t>SADM 150900Z 05007KT 9999 OVC010 13/11 Q1018</t>
        </is>
      </c>
    </row>
    <row r="80">
      <c r="A80" t="inlineStr">
        <is>
          <t>15</t>
        </is>
      </c>
      <c r="B80" t="inlineStr">
        <is>
          <t>2026-08-15</t>
        </is>
      </c>
      <c r="C80" t="inlineStr">
        <is>
          <t>10 a 11</t>
        </is>
      </c>
      <c r="D80" t="n">
        <v>0</v>
      </c>
      <c r="E80" t="inlineStr">
        <is>
          <t>-</t>
        </is>
      </c>
      <c r="F80" t="inlineStr">
        <is>
          <t>IMC</t>
        </is>
      </c>
      <c r="G80" t="inlineStr">
        <is>
          <t>techo 1400 ft</t>
        </is>
      </c>
      <c r="H80" t="inlineStr">
        <is>
          <t>SADM 151000Z 07007KT 9999 OVC014 14/11 Q1018</t>
        </is>
      </c>
    </row>
    <row r="81">
      <c r="A81" t="inlineStr">
        <is>
          <t>15</t>
        </is>
      </c>
      <c r="B81" t="inlineStr">
        <is>
          <t>2026-08-15</t>
        </is>
      </c>
      <c r="C81" t="inlineStr">
        <is>
          <t>22 a 23</t>
        </is>
      </c>
      <c r="D81" t="n">
        <v>0</v>
      </c>
      <c r="E81" t="inlineStr">
        <is>
          <t>-</t>
        </is>
      </c>
      <c r="F81" t="inlineStr">
        <is>
          <t>IMC</t>
        </is>
      </c>
      <c r="G81" t="inlineStr">
        <is>
          <t>vis 4000 m + techo 700 ft</t>
        </is>
      </c>
      <c r="H81" t="inlineStr">
        <is>
          <t>SADM 152200Z 09002KT 4000 BR OVC007 14/13 Q1012</t>
        </is>
      </c>
    </row>
    <row r="82">
      <c r="A82" t="inlineStr">
        <is>
          <t>15</t>
        </is>
      </c>
      <c r="B82" t="inlineStr">
        <is>
          <t>2026-08-15</t>
        </is>
      </c>
      <c r="C82" t="inlineStr">
        <is>
          <t>23 a 00</t>
        </is>
      </c>
      <c r="D82" t="n">
        <v>0</v>
      </c>
      <c r="E82" t="inlineStr">
        <is>
          <t>-</t>
        </is>
      </c>
      <c r="F82" t="inlineStr">
        <is>
          <t>IMC</t>
        </is>
      </c>
      <c r="G82" t="inlineStr">
        <is>
          <t>vis 4000 m + techo 600 ft</t>
        </is>
      </c>
      <c r="H82" t="inlineStr">
        <is>
          <t>SADM 152300Z 09005KT 4000 -DZBR OVC006 15/14 Q1012</t>
        </is>
      </c>
    </row>
    <row r="83">
      <c r="A83" t="inlineStr">
        <is>
          <t>16</t>
        </is>
      </c>
      <c r="B83" t="inlineStr">
        <is>
          <t>2026-08-16</t>
        </is>
      </c>
      <c r="C83" t="inlineStr">
        <is>
          <t>00 a 01</t>
        </is>
      </c>
      <c r="D83" t="n">
        <v>0</v>
      </c>
      <c r="E83" t="inlineStr">
        <is>
          <t>-</t>
        </is>
      </c>
      <c r="F83" t="inlineStr">
        <is>
          <t>IMC</t>
        </is>
      </c>
      <c r="G83" t="inlineStr">
        <is>
          <t>vis 4000 m + techo 1200 ft</t>
        </is>
      </c>
      <c r="H83" t="inlineStr">
        <is>
          <t>SADM 160000Z 09001KT 4000 -DZBR OVC012 15/14 Q1013</t>
        </is>
      </c>
    </row>
    <row r="84">
      <c r="A84" t="inlineStr">
        <is>
          <t>16</t>
        </is>
      </c>
      <c r="B84" t="inlineStr">
        <is>
          <t>2026-08-16</t>
        </is>
      </c>
      <c r="C84" t="inlineStr">
        <is>
          <t>01 a 02</t>
        </is>
      </c>
      <c r="D84" t="n">
        <v>0</v>
      </c>
      <c r="E84" t="inlineStr">
        <is>
          <t>-</t>
        </is>
      </c>
      <c r="F84" t="inlineStr">
        <is>
          <t>IMC</t>
        </is>
      </c>
      <c r="G84" t="inlineStr">
        <is>
          <t>vis 3000 m + techo 800 ft</t>
        </is>
      </c>
      <c r="H84" t="inlineStr">
        <is>
          <t>SADM 160100Z 05001KT 3000 -DZBR OVC008 15/15 Q1013</t>
        </is>
      </c>
    </row>
    <row r="85">
      <c r="A85" t="inlineStr">
        <is>
          <t>16</t>
        </is>
      </c>
      <c r="B85" t="inlineStr">
        <is>
          <t>2026-08-16</t>
        </is>
      </c>
      <c r="C85" t="inlineStr">
        <is>
          <t>02 a 03</t>
        </is>
      </c>
      <c r="D85" t="n">
        <v>0</v>
      </c>
      <c r="E85" t="inlineStr">
        <is>
          <t>-</t>
        </is>
      </c>
      <c r="F85" t="inlineStr">
        <is>
          <t>IMC</t>
        </is>
      </c>
      <c r="G85" t="inlineStr">
        <is>
          <t>techo 1000 ft</t>
        </is>
      </c>
      <c r="H85" t="inlineStr">
        <is>
          <t>SADM 160200Z 02004KT 5000 BR OVC010 15/15 Q1013</t>
        </is>
      </c>
    </row>
    <row r="86">
      <c r="A86" t="inlineStr">
        <is>
          <t>16</t>
        </is>
      </c>
      <c r="B86" t="inlineStr">
        <is>
          <t>2026-08-16</t>
        </is>
      </c>
      <c r="C86" t="inlineStr">
        <is>
          <t>03 a 04</t>
        </is>
      </c>
      <c r="D86" t="n">
        <v>0</v>
      </c>
      <c r="E86" t="inlineStr">
        <is>
          <t>-</t>
        </is>
      </c>
      <c r="F86" t="inlineStr">
        <is>
          <t>IMC</t>
        </is>
      </c>
      <c r="G86" t="inlineStr">
        <is>
          <t>techo 1400 ft</t>
        </is>
      </c>
      <c r="H86" t="inlineStr">
        <is>
          <t>SADM 160300Z 02003KT 9000 BKN014 OVC100 15/14 Q1012</t>
        </is>
      </c>
    </row>
    <row r="87">
      <c r="A87" t="inlineStr">
        <is>
          <t>16</t>
        </is>
      </c>
      <c r="B87" t="inlineStr">
        <is>
          <t>2026-08-16</t>
        </is>
      </c>
      <c r="C87" t="inlineStr">
        <is>
          <t>10 a 11</t>
        </is>
      </c>
      <c r="D87" t="n">
        <v>0</v>
      </c>
      <c r="E87" t="inlineStr">
        <is>
          <t>-</t>
        </is>
      </c>
      <c r="F87" t="inlineStr">
        <is>
          <t>IMC</t>
        </is>
      </c>
      <c r="G87" t="inlineStr">
        <is>
          <t>techo 700 ft</t>
        </is>
      </c>
      <c r="H87" t="inlineStr">
        <is>
          <t>SADM 161000Z 34002KT 5000 BR OVC007 13/13 Q1010</t>
        </is>
      </c>
    </row>
    <row r="88">
      <c r="A88" t="inlineStr">
        <is>
          <t>16</t>
        </is>
      </c>
      <c r="B88" t="inlineStr">
        <is>
          <t>2026-08-16</t>
        </is>
      </c>
      <c r="C88" t="inlineStr">
        <is>
          <t>23 a 00</t>
        </is>
      </c>
      <c r="D88" t="n">
        <v>0</v>
      </c>
      <c r="E88" t="inlineStr">
        <is>
          <t>-</t>
        </is>
      </c>
      <c r="F88" t="inlineStr">
        <is>
          <t>IMC</t>
        </is>
      </c>
      <c r="G88" t="inlineStr">
        <is>
          <t>vis 3500 m</t>
        </is>
      </c>
      <c r="H88" t="inlineStr">
        <is>
          <t>SADM 162300Z 18003KT 3500 FU OVC028 15/13 Q1012</t>
        </is>
      </c>
    </row>
    <row r="89">
      <c r="A89" t="inlineStr">
        <is>
          <t>17</t>
        </is>
      </c>
      <c r="B89" t="inlineStr">
        <is>
          <t>2026-08-17</t>
        </is>
      </c>
      <c r="C89" t="inlineStr">
        <is>
          <t>10 a 11</t>
        </is>
      </c>
      <c r="D89" t="n">
        <v>0</v>
      </c>
      <c r="E89" t="inlineStr">
        <is>
          <t>-</t>
        </is>
      </c>
      <c r="F89" t="inlineStr">
        <is>
          <t>IMC</t>
        </is>
      </c>
      <c r="G89" t="inlineStr">
        <is>
          <t>techo 1100 ft</t>
        </is>
      </c>
      <c r="H89" t="inlineStr">
        <is>
          <t>SADM 171000Z 14013KT 9999 OVC011 12/11 Q1016</t>
        </is>
      </c>
    </row>
    <row r="90">
      <c r="A90" t="inlineStr">
        <is>
          <t>18</t>
        </is>
      </c>
      <c r="B90" t="inlineStr">
        <is>
          <t>2026-08-18</t>
        </is>
      </c>
      <c r="C90" t="inlineStr">
        <is>
          <t>02 a 03</t>
        </is>
      </c>
      <c r="D90" t="n">
        <v>0</v>
      </c>
      <c r="E90" t="inlineStr">
        <is>
          <t>-</t>
        </is>
      </c>
      <c r="F90" t="inlineStr">
        <is>
          <t>IMC</t>
        </is>
      </c>
      <c r="G90" t="inlineStr">
        <is>
          <t>techo 1400 ft</t>
        </is>
      </c>
      <c r="H90" t="inlineStr">
        <is>
          <t>SADM 180200Z 16016KT 9999 BKN014 OVC019 10/07 Q1020</t>
        </is>
      </c>
    </row>
    <row r="91">
      <c r="A91" t="inlineStr">
        <is>
          <t>18</t>
        </is>
      </c>
      <c r="B91" t="inlineStr">
        <is>
          <t>2026-08-18</t>
        </is>
      </c>
      <c r="C91" t="inlineStr">
        <is>
          <t>03 a 04</t>
        </is>
      </c>
      <c r="D91" t="n">
        <v>0</v>
      </c>
      <c r="E91" t="inlineStr">
        <is>
          <t>-</t>
        </is>
      </c>
      <c r="F91" t="inlineStr">
        <is>
          <t>IMC</t>
        </is>
      </c>
      <c r="G91" t="inlineStr">
        <is>
          <t>techo 1200 ft</t>
        </is>
      </c>
      <c r="H91" t="inlineStr">
        <is>
          <t>SADM 180300Z 16013KT 9999 OVC012 09/06 Q1020</t>
        </is>
      </c>
    </row>
    <row r="92">
      <c r="A92" t="inlineStr">
        <is>
          <t>18</t>
        </is>
      </c>
      <c r="B92" t="inlineStr">
        <is>
          <t>2026-08-18</t>
        </is>
      </c>
      <c r="C92" t="inlineStr">
        <is>
          <t>04 a 05</t>
        </is>
      </c>
      <c r="D92" t="n">
        <v>0</v>
      </c>
      <c r="E92" t="inlineStr">
        <is>
          <t>-</t>
        </is>
      </c>
      <c r="F92" t="inlineStr">
        <is>
          <t>IMC</t>
        </is>
      </c>
      <c r="G92" t="inlineStr">
        <is>
          <t>techo 1200 ft</t>
        </is>
      </c>
      <c r="H92" t="inlineStr">
        <is>
          <t>SADM 180400Z 16014KT 9999 OVC012 09/06 Q1020</t>
        </is>
      </c>
    </row>
    <row r="93">
      <c r="A93" t="inlineStr">
        <is>
          <t>18</t>
        </is>
      </c>
      <c r="B93" t="inlineStr">
        <is>
          <t>2026-08-18</t>
        </is>
      </c>
      <c r="C93" t="inlineStr">
        <is>
          <t>05 a 06</t>
        </is>
      </c>
      <c r="D93" t="n">
        <v>0</v>
      </c>
      <c r="E93" t="inlineStr">
        <is>
          <t>-</t>
        </is>
      </c>
      <c r="F93" t="inlineStr">
        <is>
          <t>IMC</t>
        </is>
      </c>
      <c r="G93" t="inlineStr">
        <is>
          <t>techo 1200 ft</t>
        </is>
      </c>
      <c r="H93" t="inlineStr">
        <is>
          <t>SADM 180500Z 16013KT 9999 OVC012 09/05 Q1020</t>
        </is>
      </c>
    </row>
    <row r="94">
      <c r="A94" t="inlineStr">
        <is>
          <t>18</t>
        </is>
      </c>
      <c r="B94" t="inlineStr">
        <is>
          <t>2026-08-18</t>
        </is>
      </c>
      <c r="C94" t="inlineStr">
        <is>
          <t>06 a 07</t>
        </is>
      </c>
      <c r="D94" t="n">
        <v>0</v>
      </c>
      <c r="E94" t="inlineStr">
        <is>
          <t>-</t>
        </is>
      </c>
      <c r="F94" t="inlineStr">
        <is>
          <t>IMC</t>
        </is>
      </c>
      <c r="G94" t="inlineStr">
        <is>
          <t>techo 900 ft</t>
        </is>
      </c>
      <c r="H94" t="inlineStr">
        <is>
          <t>SADM 180600Z 14011KT 9999 OVC009 08/05 Q1020</t>
        </is>
      </c>
    </row>
    <row r="95">
      <c r="A95" t="inlineStr">
        <is>
          <t>18</t>
        </is>
      </c>
      <c r="B95" t="inlineStr">
        <is>
          <t>2026-08-18</t>
        </is>
      </c>
      <c r="C95" t="inlineStr">
        <is>
          <t>07 a 08</t>
        </is>
      </c>
      <c r="D95" t="n">
        <v>0</v>
      </c>
      <c r="E95" t="inlineStr">
        <is>
          <t>-</t>
        </is>
      </c>
      <c r="F95" t="inlineStr">
        <is>
          <t>IMC</t>
        </is>
      </c>
      <c r="G95" t="inlineStr">
        <is>
          <t>techo 900 ft</t>
        </is>
      </c>
      <c r="H95" t="inlineStr">
        <is>
          <t>SADM 180700Z 14010KT 9999 OVC009 08/06 Q1021</t>
        </is>
      </c>
    </row>
    <row r="96">
      <c r="A96" t="inlineStr">
        <is>
          <t>18</t>
        </is>
      </c>
      <c r="B96" t="inlineStr">
        <is>
          <t>2026-08-18</t>
        </is>
      </c>
      <c r="C96" t="inlineStr">
        <is>
          <t>08 a 09</t>
        </is>
      </c>
      <c r="D96" t="n">
        <v>0</v>
      </c>
      <c r="E96" t="inlineStr">
        <is>
          <t>-</t>
        </is>
      </c>
      <c r="F96" t="inlineStr">
        <is>
          <t>IMC</t>
        </is>
      </c>
      <c r="G96" t="inlineStr">
        <is>
          <t>techo 600 ft</t>
        </is>
      </c>
      <c r="H96" t="inlineStr">
        <is>
          <t>SADM 180800Z 16013KT 9999 OVC006 08/06 Q1020</t>
        </is>
      </c>
    </row>
    <row r="97">
      <c r="A97" t="inlineStr">
        <is>
          <t>18</t>
        </is>
      </c>
      <c r="B97" t="inlineStr">
        <is>
          <t>2026-08-18</t>
        </is>
      </c>
      <c r="C97" t="inlineStr">
        <is>
          <t>09 a 10</t>
        </is>
      </c>
      <c r="D97" t="n">
        <v>0</v>
      </c>
      <c r="E97" t="inlineStr">
        <is>
          <t>-</t>
        </is>
      </c>
      <c r="F97" t="inlineStr">
        <is>
          <t>IMC</t>
        </is>
      </c>
      <c r="G97" t="inlineStr">
        <is>
          <t>techo 1200 ft</t>
        </is>
      </c>
      <c r="H97" t="inlineStr">
        <is>
          <t>SADM 180900Z 16013KT 9999 OVC012 08/05 Q1020</t>
        </is>
      </c>
    </row>
    <row r="98">
      <c r="A98" t="inlineStr">
        <is>
          <t>18</t>
        </is>
      </c>
      <c r="B98" t="inlineStr">
        <is>
          <t>2026-08-18</t>
        </is>
      </c>
      <c r="C98" t="inlineStr">
        <is>
          <t>10 a 11</t>
        </is>
      </c>
      <c r="D98" t="n">
        <v>0</v>
      </c>
      <c r="E98" t="inlineStr">
        <is>
          <t>-</t>
        </is>
      </c>
      <c r="F98" t="inlineStr">
        <is>
          <t>IMC</t>
        </is>
      </c>
      <c r="G98" t="inlineStr">
        <is>
          <t>techo 900 ft</t>
        </is>
      </c>
      <c r="H98" t="inlineStr">
        <is>
          <t>SADM 181000Z 16011KT 9999 OVC009 08/05 Q1020</t>
        </is>
      </c>
    </row>
    <row r="99">
      <c r="A99" t="inlineStr">
        <is>
          <t>19</t>
        </is>
      </c>
      <c r="B99" t="inlineStr">
        <is>
          <t>2026-08-19</t>
        </is>
      </c>
      <c r="C99" t="inlineStr">
        <is>
          <t>07 a 08</t>
        </is>
      </c>
      <c r="D99" t="n">
        <v>0</v>
      </c>
      <c r="E99" t="inlineStr">
        <is>
          <t>-</t>
        </is>
      </c>
      <c r="F99" t="inlineStr">
        <is>
          <t>IMC</t>
        </is>
      </c>
      <c r="G99" t="inlineStr">
        <is>
          <t>vis 3000 m</t>
        </is>
      </c>
      <c r="H99" t="inlineStr">
        <is>
          <t>SADM 190700Z 20003KT 5000 BR NSC 05/05 Q1024</t>
        </is>
      </c>
    </row>
    <row r="100">
      <c r="A100" t="inlineStr">
        <is>
          <t>19</t>
        </is>
      </c>
      <c r="B100" t="inlineStr">
        <is>
          <t>2026-08-19</t>
        </is>
      </c>
      <c r="C100" t="inlineStr">
        <is>
          <t>08 a 09</t>
        </is>
      </c>
      <c r="D100" t="n">
        <v>0</v>
      </c>
      <c r="E100" t="inlineStr">
        <is>
          <t>-</t>
        </is>
      </c>
      <c r="F100" t="inlineStr">
        <is>
          <t>IMC</t>
        </is>
      </c>
      <c r="G100" t="inlineStr">
        <is>
          <t>vis 1500 m</t>
        </is>
      </c>
      <c r="H100" t="inlineStr">
        <is>
          <t>SADM 190800Z 18002KT 1500 MIFG BR NSC 04/03 Q1023</t>
        </is>
      </c>
    </row>
    <row r="101">
      <c r="A101" t="inlineStr">
        <is>
          <t>19</t>
        </is>
      </c>
      <c r="B101" t="inlineStr">
        <is>
          <t>2026-08-19</t>
        </is>
      </c>
      <c r="C101" t="inlineStr">
        <is>
          <t>09 a 10</t>
        </is>
      </c>
      <c r="D101" t="n">
        <v>0</v>
      </c>
      <c r="E101" t="inlineStr">
        <is>
          <t>-</t>
        </is>
      </c>
      <c r="F101" t="inlineStr">
        <is>
          <t>IMC</t>
        </is>
      </c>
      <c r="G101" t="inlineStr">
        <is>
          <t>vis 1000 m</t>
        </is>
      </c>
      <c r="H101" t="inlineStr">
        <is>
          <t>SADM 190900Z 18003KT 1000 MIFG BR NSC 03/02 Q1023</t>
        </is>
      </c>
    </row>
    <row r="102">
      <c r="A102" t="inlineStr">
        <is>
          <t>19</t>
        </is>
      </c>
      <c r="B102" t="inlineStr">
        <is>
          <t>2026-08-19</t>
        </is>
      </c>
      <c r="C102" t="inlineStr">
        <is>
          <t>10 a 11</t>
        </is>
      </c>
      <c r="D102" t="n">
        <v>0</v>
      </c>
      <c r="E102" t="inlineStr">
        <is>
          <t>-</t>
        </is>
      </c>
      <c r="F102" t="inlineStr">
        <is>
          <t>IMC</t>
        </is>
      </c>
      <c r="G102" t="inlineStr">
        <is>
          <t>vis 800 m</t>
        </is>
      </c>
      <c r="H102" t="inlineStr">
        <is>
          <t>SADM 191000Z 18001KT 0800 FG NSC 03/02 Q1024</t>
        </is>
      </c>
    </row>
    <row r="103">
      <c r="A103" t="inlineStr">
        <is>
          <t>19</t>
        </is>
      </c>
      <c r="B103" t="inlineStr">
        <is>
          <t>2026-08-19</t>
        </is>
      </c>
      <c r="C103" t="inlineStr">
        <is>
          <t>11 a 12</t>
        </is>
      </c>
      <c r="D103" t="n">
        <v>0</v>
      </c>
      <c r="E103" t="inlineStr">
        <is>
          <t>-</t>
        </is>
      </c>
      <c r="F103" t="inlineStr">
        <is>
          <t>IMC</t>
        </is>
      </c>
      <c r="G103" t="inlineStr">
        <is>
          <t>vis 2500 m</t>
        </is>
      </c>
      <c r="H103" t="inlineStr">
        <is>
          <t>SADM 191100Z 14002KT 2500 BR NSC 04/03 Q1024</t>
        </is>
      </c>
    </row>
    <row r="104">
      <c r="A104" t="inlineStr">
        <is>
          <t>20</t>
        </is>
      </c>
      <c r="B104" t="inlineStr">
        <is>
          <t>2026-08-20</t>
        </is>
      </c>
      <c r="C104" t="inlineStr">
        <is>
          <t>10 a 11</t>
        </is>
      </c>
      <c r="D104" t="n">
        <v>0</v>
      </c>
      <c r="E104" t="inlineStr">
        <is>
          <t>-</t>
        </is>
      </c>
      <c r="F104" t="inlineStr">
        <is>
          <t>IMC</t>
        </is>
      </c>
      <c r="G104" t="inlineStr">
        <is>
          <t>vis 1500 m</t>
        </is>
      </c>
      <c r="H104" t="inlineStr">
        <is>
          <t>SADM 201000Z 20006KT 5000 BR FU NSC 06/05 Q1016</t>
        </is>
      </c>
    </row>
  </sheetData>
  <autoFilter ref="A1:H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Tomas LLambi</dc:creator>
  <dcterms:created xsi:type="dcterms:W3CDTF">2016-11-03T12:20:05Z</dcterms:created>
  <dcterms:modified xsi:type="dcterms:W3CDTF">2026-08-21T12:12:14Z</dcterms:modified>
  <cp:lastModifiedBy>EANA</cp:lastModifiedBy>
</cp:coreProperties>
</file>